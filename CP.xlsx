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hp\Downloads\"/>
    </mc:Choice>
  </mc:AlternateContent>
  <xr:revisionPtr revIDLastSave="0" documentId="8_{AC4A1A90-7622-4BBD-BF6D-05B234CB5D1F}" xr6:coauthVersionLast="47" xr6:coauthVersionMax="47" xr10:uidLastSave="{00000000-0000-0000-0000-000000000000}"/>
  <bookViews>
    <workbookView xWindow="-108" yWindow="-108" windowWidth="23256" windowHeight="12456" xr2:uid="{61986F38-2431-41E5-B676-0B4ED63FAF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1321" i="1" l="1"/>
  <c r="AA1321" i="1"/>
  <c r="AB1320" i="1"/>
  <c r="AA1320" i="1"/>
  <c r="AB1319" i="1"/>
  <c r="AA1319" i="1"/>
  <c r="AB1318" i="1"/>
  <c r="AA1318" i="1"/>
  <c r="AB1317" i="1"/>
  <c r="AA1317" i="1"/>
  <c r="AB1316" i="1"/>
  <c r="AA1316" i="1"/>
  <c r="AB1315" i="1"/>
  <c r="AA1315" i="1"/>
  <c r="AB1314" i="1"/>
  <c r="AA1314" i="1"/>
  <c r="AB1313" i="1"/>
  <c r="AA1313" i="1"/>
  <c r="AB1312" i="1"/>
  <c r="AA1312" i="1"/>
  <c r="AB1311" i="1"/>
  <c r="AA1311" i="1"/>
  <c r="AB1310" i="1"/>
  <c r="AA1310" i="1"/>
  <c r="AB1309" i="1"/>
  <c r="AA1309" i="1"/>
  <c r="AB1308" i="1"/>
  <c r="AA1308" i="1"/>
  <c r="AB1307" i="1"/>
  <c r="AA1307" i="1"/>
  <c r="AB1306" i="1"/>
  <c r="AA1306" i="1"/>
  <c r="AB1305" i="1"/>
  <c r="AA1305" i="1"/>
  <c r="AB1304" i="1"/>
  <c r="AA1304" i="1"/>
  <c r="AB1303" i="1"/>
  <c r="AA1303" i="1"/>
  <c r="AB1302" i="1"/>
  <c r="AA1302" i="1"/>
  <c r="AB1301" i="1"/>
  <c r="AA1301" i="1"/>
  <c r="AB1300" i="1"/>
  <c r="AA1300" i="1"/>
  <c r="AB1299" i="1"/>
  <c r="AA1299" i="1"/>
  <c r="AB1298" i="1"/>
  <c r="AA1298" i="1"/>
  <c r="AB1297" i="1"/>
  <c r="AA1297" i="1"/>
  <c r="AB1296" i="1"/>
  <c r="AA1296" i="1"/>
  <c r="AB1295" i="1"/>
  <c r="AA1295" i="1"/>
  <c r="AB1294" i="1"/>
  <c r="AA1294" i="1"/>
  <c r="AB1293" i="1"/>
  <c r="AA1293" i="1"/>
  <c r="AB1292" i="1"/>
  <c r="AA1292" i="1"/>
  <c r="AB1291" i="1"/>
  <c r="AA1291" i="1"/>
  <c r="AB1290" i="1"/>
  <c r="AA1290" i="1"/>
  <c r="AB1289" i="1"/>
  <c r="AA1289" i="1"/>
  <c r="AB1288" i="1"/>
  <c r="AA1288" i="1"/>
  <c r="AB1287" i="1"/>
  <c r="AA1287" i="1"/>
  <c r="AB1286" i="1"/>
  <c r="AA1286" i="1"/>
  <c r="AB1285" i="1"/>
  <c r="AA1285" i="1"/>
  <c r="AB1284" i="1"/>
  <c r="AA1284" i="1"/>
  <c r="AB1283" i="1"/>
  <c r="AA1283" i="1"/>
  <c r="AB1282" i="1"/>
  <c r="AA1282" i="1"/>
  <c r="AB1281" i="1"/>
  <c r="AA1281" i="1"/>
  <c r="AB1280" i="1"/>
  <c r="AA1280" i="1"/>
  <c r="AB1279" i="1"/>
  <c r="AA1279" i="1"/>
  <c r="AB1278" i="1"/>
  <c r="AA1278" i="1"/>
  <c r="AB1277" i="1"/>
  <c r="AA1277" i="1"/>
  <c r="AB1276" i="1"/>
  <c r="AA1276" i="1"/>
  <c r="AB1275" i="1"/>
  <c r="AA1275" i="1"/>
  <c r="AB1274" i="1"/>
  <c r="AA1274" i="1"/>
  <c r="AB1273" i="1"/>
  <c r="AA1273" i="1"/>
  <c r="AB1272" i="1"/>
  <c r="AA1272" i="1"/>
  <c r="AB1271" i="1"/>
  <c r="AA1271" i="1"/>
  <c r="AB1270" i="1"/>
  <c r="AA1270" i="1"/>
  <c r="AB1269" i="1"/>
  <c r="AA1269" i="1"/>
  <c r="AB1268" i="1"/>
  <c r="AA1268" i="1"/>
  <c r="AB1267" i="1"/>
  <c r="AA1267" i="1"/>
  <c r="AB1266" i="1"/>
  <c r="AA1266" i="1"/>
  <c r="AB1265" i="1"/>
  <c r="AA1265" i="1"/>
  <c r="AB1264" i="1"/>
  <c r="AA1264" i="1"/>
  <c r="AB1263" i="1"/>
  <c r="AA1263" i="1"/>
  <c r="AB1262" i="1"/>
  <c r="AA1262" i="1"/>
  <c r="AB1261" i="1"/>
  <c r="AA1261" i="1"/>
  <c r="AB1260" i="1"/>
  <c r="AA1260" i="1"/>
  <c r="AB1259" i="1"/>
  <c r="AA1259" i="1"/>
  <c r="AB1258" i="1"/>
  <c r="AA1258" i="1"/>
  <c r="AB1257" i="1"/>
  <c r="AA1257" i="1"/>
  <c r="AB1256" i="1"/>
  <c r="AA1256" i="1"/>
  <c r="AB1255" i="1"/>
  <c r="AA1255" i="1"/>
  <c r="AB1254" i="1"/>
  <c r="AA1254" i="1"/>
  <c r="AB1253" i="1"/>
  <c r="AA1253" i="1"/>
  <c r="AB1252" i="1"/>
  <c r="AA1252" i="1"/>
  <c r="AB1251" i="1"/>
  <c r="AA1251" i="1"/>
  <c r="AB1250" i="1"/>
  <c r="AA1250" i="1"/>
  <c r="AB1249" i="1"/>
  <c r="AA1249" i="1"/>
  <c r="AB1248" i="1"/>
  <c r="AA1248" i="1"/>
  <c r="AB1247" i="1"/>
  <c r="AA1247" i="1"/>
  <c r="AB1246" i="1"/>
  <c r="AA1246" i="1"/>
  <c r="AB1245" i="1"/>
  <c r="AA1245" i="1"/>
  <c r="AB1244" i="1"/>
  <c r="AA1244" i="1"/>
  <c r="AB1243" i="1"/>
  <c r="AA1243" i="1"/>
  <c r="AB1242" i="1"/>
  <c r="AA1242" i="1"/>
  <c r="AB1241" i="1"/>
  <c r="AA1241" i="1"/>
  <c r="AB1240" i="1"/>
  <c r="AA1240" i="1"/>
  <c r="AB1239" i="1"/>
  <c r="AA1239" i="1"/>
  <c r="AB1238" i="1"/>
  <c r="AA1238" i="1"/>
  <c r="AB1237" i="1"/>
  <c r="AA1237" i="1"/>
  <c r="AB1236" i="1"/>
  <c r="AA1236" i="1"/>
  <c r="AB1235" i="1"/>
  <c r="AA1235" i="1"/>
  <c r="AB1234" i="1"/>
  <c r="AA1234" i="1"/>
  <c r="AB1233" i="1"/>
  <c r="AA1233" i="1"/>
  <c r="AB1232" i="1"/>
  <c r="AA1232" i="1"/>
  <c r="AB1231" i="1"/>
  <c r="AA1231" i="1"/>
  <c r="AB1230" i="1"/>
  <c r="AA1230" i="1"/>
  <c r="AB1229" i="1"/>
  <c r="AA1229" i="1"/>
  <c r="AB1228" i="1"/>
  <c r="AA1228" i="1"/>
  <c r="AB1227" i="1"/>
  <c r="AA1227" i="1"/>
  <c r="AB1226" i="1"/>
  <c r="AA1226" i="1"/>
  <c r="AB1225" i="1"/>
  <c r="AA1225" i="1"/>
  <c r="AB1224" i="1"/>
  <c r="AA1224" i="1"/>
  <c r="AB1223" i="1"/>
  <c r="AA1223" i="1"/>
  <c r="AB1222" i="1"/>
  <c r="AA1222" i="1"/>
  <c r="AB1221" i="1"/>
  <c r="AA1221" i="1"/>
  <c r="AB1220" i="1"/>
  <c r="AA1220" i="1"/>
  <c r="AB1219" i="1"/>
  <c r="AA1219" i="1"/>
  <c r="AB1218" i="1"/>
  <c r="AA1218" i="1"/>
  <c r="AB1217" i="1"/>
  <c r="AA1217" i="1"/>
  <c r="AB1216" i="1"/>
  <c r="AA1216" i="1"/>
  <c r="AB1215" i="1"/>
  <c r="AA1215" i="1"/>
  <c r="AB1214" i="1"/>
  <c r="AA1214" i="1"/>
  <c r="AB1213" i="1"/>
  <c r="AA1213" i="1"/>
  <c r="AB1212" i="1"/>
  <c r="AA1212" i="1"/>
  <c r="AB1211" i="1"/>
  <c r="AA1211" i="1"/>
  <c r="AB1210" i="1"/>
  <c r="AA1210" i="1"/>
  <c r="AB1209" i="1"/>
  <c r="AA1209" i="1"/>
  <c r="AB1208" i="1"/>
  <c r="AA1208" i="1"/>
  <c r="AB1207" i="1"/>
  <c r="AA1207" i="1"/>
  <c r="AB1206" i="1"/>
  <c r="AA1206" i="1"/>
  <c r="AB1205" i="1"/>
  <c r="AA1205" i="1"/>
  <c r="AB1204" i="1"/>
  <c r="AA1204" i="1"/>
  <c r="AB1203" i="1"/>
  <c r="AA1203" i="1"/>
  <c r="AB1202" i="1"/>
  <c r="AA1202" i="1"/>
  <c r="AB1201" i="1"/>
  <c r="AA1201" i="1"/>
  <c r="AB1200" i="1"/>
  <c r="AA1200" i="1"/>
  <c r="AB1199" i="1"/>
  <c r="AA1199" i="1"/>
  <c r="AB1198" i="1"/>
  <c r="AA1198" i="1"/>
  <c r="AB1197" i="1"/>
  <c r="AA1197" i="1"/>
  <c r="AB1196" i="1"/>
  <c r="AA1196" i="1"/>
  <c r="AB1195" i="1"/>
  <c r="AA1195" i="1"/>
  <c r="AB1194" i="1"/>
  <c r="AA1194" i="1"/>
  <c r="AB1193" i="1"/>
  <c r="AA1193" i="1"/>
  <c r="AB1192" i="1"/>
  <c r="AA1192" i="1"/>
  <c r="AB1191" i="1"/>
  <c r="AA1191" i="1"/>
  <c r="AB1190" i="1"/>
  <c r="AA1190" i="1"/>
  <c r="AB1189" i="1"/>
  <c r="AA1189" i="1"/>
  <c r="AB1188" i="1"/>
  <c r="AA1188" i="1"/>
  <c r="AB1187" i="1"/>
  <c r="AA1187" i="1"/>
  <c r="AB1186" i="1"/>
  <c r="AA1186" i="1"/>
  <c r="AB1185" i="1"/>
  <c r="AA1185" i="1"/>
  <c r="AB1184" i="1"/>
  <c r="AA1184" i="1"/>
  <c r="AB1183" i="1"/>
  <c r="AA1183" i="1"/>
  <c r="AB1182" i="1"/>
  <c r="AA1182" i="1"/>
  <c r="AB1181" i="1"/>
  <c r="AA1181" i="1"/>
  <c r="AB1180" i="1"/>
  <c r="AA1180" i="1"/>
  <c r="AB1179" i="1"/>
  <c r="AA1179" i="1"/>
  <c r="AB1178" i="1"/>
  <c r="AA1178" i="1"/>
  <c r="AB1177" i="1"/>
  <c r="AA1177" i="1"/>
  <c r="AB1176" i="1"/>
  <c r="AA1176" i="1"/>
  <c r="AB1175" i="1"/>
  <c r="AA1175" i="1"/>
  <c r="AB1174" i="1"/>
  <c r="AA1174" i="1"/>
  <c r="AB1173" i="1"/>
  <c r="AA1173" i="1"/>
  <c r="AB1172" i="1"/>
  <c r="AA1172" i="1"/>
  <c r="AB1171" i="1"/>
  <c r="AA1171" i="1"/>
  <c r="AB1170" i="1"/>
  <c r="AA1170" i="1"/>
  <c r="AB1169" i="1"/>
  <c r="AA1169" i="1"/>
  <c r="AB1168" i="1"/>
  <c r="AA1168" i="1"/>
  <c r="AB1167" i="1"/>
  <c r="AA1167" i="1"/>
  <c r="AB1166" i="1"/>
  <c r="AA1166" i="1"/>
  <c r="AB1165" i="1"/>
  <c r="AA1165" i="1"/>
  <c r="AB1164" i="1"/>
  <c r="AA1164" i="1"/>
  <c r="AB1163" i="1"/>
  <c r="AA1163" i="1"/>
  <c r="AB1162" i="1"/>
  <c r="AA1162" i="1"/>
  <c r="AB1161" i="1"/>
  <c r="AA1161" i="1"/>
  <c r="AB1160" i="1"/>
  <c r="AA1160" i="1"/>
  <c r="AB1159" i="1"/>
  <c r="AA1159" i="1"/>
  <c r="AB1158" i="1"/>
  <c r="AA1158" i="1"/>
  <c r="AB1157" i="1"/>
  <c r="AA1157" i="1"/>
  <c r="AB1156" i="1"/>
  <c r="AA1156" i="1"/>
  <c r="AB1155" i="1"/>
  <c r="AA1155" i="1"/>
  <c r="AB1154" i="1"/>
  <c r="AA1154" i="1"/>
  <c r="AB1153" i="1"/>
  <c r="AA1153" i="1"/>
  <c r="AB1152" i="1"/>
  <c r="AA1152" i="1"/>
  <c r="AB1151" i="1"/>
  <c r="AA1151" i="1"/>
  <c r="AB1150" i="1"/>
  <c r="AA1150" i="1"/>
  <c r="AB1149" i="1"/>
  <c r="AA1149" i="1"/>
  <c r="AB1148" i="1"/>
  <c r="AA1148" i="1"/>
  <c r="AB1147" i="1"/>
  <c r="AA1147" i="1"/>
  <c r="AB1146" i="1"/>
  <c r="AA1146" i="1"/>
  <c r="AB1145" i="1"/>
  <c r="AA1145" i="1"/>
  <c r="AB1144" i="1"/>
  <c r="AA1144" i="1"/>
  <c r="AB1143" i="1"/>
  <c r="AA1143" i="1"/>
  <c r="AB1142" i="1"/>
  <c r="AA1142" i="1"/>
  <c r="AB1141" i="1"/>
  <c r="AA1141" i="1"/>
  <c r="AB1140" i="1"/>
  <c r="AA1140" i="1"/>
  <c r="AB1139" i="1"/>
  <c r="AA1139" i="1"/>
  <c r="AB1138" i="1"/>
  <c r="AA1138" i="1"/>
  <c r="AB1137" i="1"/>
  <c r="AA1137" i="1"/>
  <c r="AB1136" i="1"/>
  <c r="AA1136" i="1"/>
  <c r="AB1135" i="1"/>
  <c r="AA1135" i="1"/>
  <c r="AB1134" i="1"/>
  <c r="AA1134" i="1"/>
  <c r="AB1133" i="1"/>
  <c r="AA1133" i="1"/>
  <c r="AB1132" i="1"/>
  <c r="AA1132" i="1"/>
  <c r="AB1131" i="1"/>
  <c r="AA1131" i="1"/>
  <c r="AB1130" i="1"/>
  <c r="AA1130" i="1"/>
  <c r="AB1129" i="1"/>
  <c r="AA1129" i="1"/>
  <c r="AB1128" i="1"/>
  <c r="AA1128" i="1"/>
  <c r="AB1127" i="1"/>
  <c r="AA1127" i="1"/>
  <c r="AB1126" i="1"/>
  <c r="AA1126" i="1"/>
  <c r="AB1125" i="1"/>
  <c r="AA1125" i="1"/>
  <c r="AB1124" i="1"/>
  <c r="AA1124" i="1"/>
  <c r="AB1123" i="1"/>
  <c r="AA1123" i="1"/>
  <c r="AB1122" i="1"/>
  <c r="AA1122" i="1"/>
  <c r="AB1121" i="1"/>
  <c r="AA1121" i="1"/>
  <c r="AB1120" i="1"/>
  <c r="AA1120" i="1"/>
  <c r="AB1119" i="1"/>
  <c r="AA1119" i="1"/>
  <c r="AB1118" i="1"/>
  <c r="AA1118" i="1"/>
  <c r="AB1117" i="1"/>
  <c r="AA1117" i="1"/>
  <c r="AB1116" i="1"/>
  <c r="AA1116" i="1"/>
  <c r="AB1115" i="1"/>
  <c r="AA1115" i="1"/>
  <c r="AB1114" i="1"/>
  <c r="AA1114" i="1"/>
  <c r="AB1113" i="1"/>
  <c r="AA1113" i="1"/>
  <c r="AB1112" i="1"/>
  <c r="AA1112" i="1"/>
  <c r="AB1111" i="1"/>
  <c r="AA1111" i="1"/>
  <c r="AB1110" i="1"/>
  <c r="AA1110" i="1"/>
  <c r="AB1109" i="1"/>
  <c r="AA1109" i="1"/>
  <c r="AB1108" i="1"/>
  <c r="AA1108" i="1"/>
  <c r="AB1107" i="1"/>
  <c r="AA1107" i="1"/>
  <c r="AB1106" i="1"/>
  <c r="AA1106" i="1"/>
  <c r="AB1105" i="1"/>
  <c r="AA1105" i="1"/>
  <c r="AB1104" i="1"/>
  <c r="AA1104" i="1"/>
  <c r="AB1103" i="1"/>
  <c r="AA1103" i="1"/>
  <c r="AB1102" i="1"/>
  <c r="AA1102" i="1"/>
  <c r="AB1101" i="1"/>
  <c r="AA1101" i="1"/>
  <c r="AB1100" i="1"/>
  <c r="AA1100" i="1"/>
  <c r="AB1099" i="1"/>
  <c r="AA1099" i="1"/>
  <c r="AB1098" i="1"/>
  <c r="AA1098" i="1"/>
  <c r="AB1097" i="1"/>
  <c r="AA1097" i="1"/>
  <c r="AB1096" i="1"/>
  <c r="AA1096" i="1"/>
  <c r="AB1095" i="1"/>
  <c r="AA1095" i="1"/>
  <c r="AB1094" i="1"/>
  <c r="AA1094" i="1"/>
  <c r="AB1093" i="1"/>
  <c r="AA1093" i="1"/>
  <c r="AB1092" i="1"/>
  <c r="AA1092" i="1"/>
  <c r="AB1091" i="1"/>
  <c r="AA1091" i="1"/>
  <c r="AB1090" i="1"/>
  <c r="AA1090" i="1"/>
  <c r="AB1089" i="1"/>
  <c r="AA1089" i="1"/>
  <c r="AB1088" i="1"/>
  <c r="AA1088" i="1"/>
  <c r="AB1087" i="1"/>
  <c r="AA1087" i="1"/>
  <c r="AB1086" i="1"/>
  <c r="AA1086" i="1"/>
  <c r="AB1085" i="1"/>
  <c r="AA1085" i="1"/>
  <c r="AB1084" i="1"/>
  <c r="AA1084" i="1"/>
  <c r="AB1083" i="1"/>
  <c r="AA1083" i="1"/>
  <c r="AB1082" i="1"/>
  <c r="AA1082" i="1"/>
  <c r="AB1081" i="1"/>
  <c r="AA1081" i="1"/>
  <c r="AB1080" i="1"/>
  <c r="AA1080" i="1"/>
  <c r="AB1079" i="1"/>
  <c r="AA1079" i="1"/>
  <c r="AB1078" i="1"/>
  <c r="AA1078" i="1"/>
  <c r="AB1077" i="1"/>
  <c r="AA1077" i="1"/>
  <c r="AB1076" i="1"/>
  <c r="AA1076" i="1"/>
  <c r="AB1075" i="1"/>
  <c r="AA1075" i="1"/>
  <c r="AB1074" i="1"/>
  <c r="AA1074" i="1"/>
  <c r="AB1073" i="1"/>
  <c r="AA1073" i="1"/>
  <c r="AB1072" i="1"/>
  <c r="AA1072" i="1"/>
  <c r="AB1071" i="1"/>
  <c r="AA1071" i="1"/>
  <c r="AB1070" i="1"/>
  <c r="AA1070" i="1"/>
  <c r="AB1069" i="1"/>
  <c r="AA1069" i="1"/>
  <c r="AB1068" i="1"/>
  <c r="AA1068" i="1"/>
  <c r="AB1067" i="1"/>
  <c r="AA1067" i="1"/>
  <c r="AB1066" i="1"/>
  <c r="AA1066" i="1"/>
  <c r="AB1065" i="1"/>
  <c r="AA1065" i="1"/>
  <c r="AB1064" i="1"/>
  <c r="AA1064" i="1"/>
  <c r="AB1063" i="1"/>
  <c r="AA1063" i="1"/>
  <c r="AB1062" i="1"/>
  <c r="AA1062" i="1"/>
  <c r="AB1061" i="1"/>
  <c r="AA1061" i="1"/>
  <c r="AB1060" i="1"/>
  <c r="AA1060" i="1"/>
  <c r="AB1059" i="1"/>
  <c r="AA1059" i="1"/>
  <c r="AB1058" i="1"/>
  <c r="AA1058" i="1"/>
  <c r="AB1057" i="1"/>
  <c r="AA1057" i="1"/>
  <c r="AB1056" i="1"/>
  <c r="AA1056" i="1"/>
  <c r="AB1055" i="1"/>
  <c r="AA1055" i="1"/>
  <c r="AB1054" i="1"/>
  <c r="AA1054" i="1"/>
  <c r="AB1053" i="1"/>
  <c r="AA1053" i="1"/>
  <c r="AB1052" i="1"/>
  <c r="AA1052" i="1"/>
  <c r="AB1051" i="1"/>
  <c r="AA1051" i="1"/>
  <c r="AB1050" i="1"/>
  <c r="AA1050" i="1"/>
  <c r="AB1049" i="1"/>
  <c r="AA1049" i="1"/>
  <c r="AB1048" i="1"/>
  <c r="AA1048" i="1"/>
  <c r="AB1047" i="1"/>
  <c r="AA1047" i="1"/>
  <c r="AB1046" i="1"/>
  <c r="AA1046" i="1"/>
  <c r="AB1045" i="1"/>
  <c r="AA1045" i="1"/>
  <c r="AB1044" i="1"/>
  <c r="AA1044" i="1"/>
  <c r="AB1043" i="1"/>
  <c r="AA1043" i="1"/>
  <c r="AB1042" i="1"/>
  <c r="AA1042" i="1"/>
  <c r="AB1041" i="1"/>
  <c r="AA1041" i="1"/>
  <c r="AB1040" i="1"/>
  <c r="AA1040" i="1"/>
  <c r="AB1039" i="1"/>
  <c r="AA1039" i="1"/>
  <c r="AB1038" i="1"/>
  <c r="AA1038" i="1"/>
  <c r="AB1037" i="1"/>
  <c r="AA1037" i="1"/>
  <c r="AB1036" i="1"/>
  <c r="AA1036" i="1"/>
  <c r="AB1035" i="1"/>
  <c r="AA1035" i="1"/>
  <c r="AB1034" i="1"/>
  <c r="AA1034" i="1"/>
  <c r="AB1033" i="1"/>
  <c r="AA1033" i="1"/>
  <c r="AB1032" i="1"/>
  <c r="AA1032" i="1"/>
  <c r="AB1031" i="1"/>
  <c r="AA1031" i="1"/>
  <c r="AB1030" i="1"/>
  <c r="AA1030" i="1"/>
  <c r="AB1029" i="1"/>
  <c r="AA1029" i="1"/>
  <c r="AB1028" i="1"/>
  <c r="AA1028" i="1"/>
  <c r="AB1027" i="1"/>
  <c r="AA1027" i="1"/>
  <c r="AB1026" i="1"/>
  <c r="AA1026" i="1"/>
  <c r="AB1025" i="1"/>
  <c r="AA1025" i="1"/>
  <c r="AB1024" i="1"/>
  <c r="AA1024" i="1"/>
  <c r="AB1023" i="1"/>
  <c r="AA1023" i="1"/>
  <c r="AB1022" i="1"/>
  <c r="AA1022" i="1"/>
  <c r="AB1021" i="1"/>
  <c r="AA1021" i="1"/>
  <c r="AB1020" i="1"/>
  <c r="AA1020" i="1"/>
  <c r="AB1019" i="1"/>
  <c r="AA1019" i="1"/>
  <c r="AB1018" i="1"/>
  <c r="AA1018" i="1"/>
  <c r="AB1017" i="1"/>
  <c r="AA1017" i="1"/>
  <c r="AB1016" i="1"/>
  <c r="AA1016" i="1"/>
  <c r="AB1015" i="1"/>
  <c r="AA1015" i="1"/>
  <c r="AB1014" i="1"/>
  <c r="AA1014" i="1"/>
  <c r="AB1013" i="1"/>
  <c r="AA1013" i="1"/>
  <c r="AB1012" i="1"/>
  <c r="AA1012" i="1"/>
  <c r="AB1011" i="1"/>
  <c r="AA1011" i="1"/>
  <c r="AB1010" i="1"/>
  <c r="AA1010" i="1"/>
  <c r="AB1009" i="1"/>
  <c r="AA1009" i="1"/>
  <c r="AB1008" i="1"/>
  <c r="AA1008" i="1"/>
  <c r="AB1007" i="1"/>
  <c r="AA1007" i="1"/>
  <c r="AB1006" i="1"/>
  <c r="AA1006" i="1"/>
  <c r="AB1005" i="1"/>
  <c r="AA1005" i="1"/>
  <c r="AB1004" i="1"/>
  <c r="AA1004" i="1"/>
  <c r="AB1003" i="1"/>
  <c r="AA1003" i="1"/>
  <c r="AB1002" i="1"/>
  <c r="AA1002" i="1"/>
  <c r="AB1001" i="1"/>
  <c r="AA1001" i="1"/>
  <c r="AB1000" i="1"/>
  <c r="AA1000" i="1"/>
  <c r="AB999" i="1"/>
  <c r="AA999" i="1"/>
  <c r="AB998" i="1"/>
  <c r="AA998" i="1"/>
  <c r="AB997" i="1"/>
  <c r="AA997" i="1"/>
  <c r="AB996" i="1"/>
  <c r="AA996" i="1"/>
  <c r="AB995" i="1"/>
  <c r="AA995" i="1"/>
  <c r="AB994" i="1"/>
  <c r="AA994" i="1"/>
  <c r="AB993" i="1"/>
  <c r="AA993" i="1"/>
  <c r="AB992" i="1"/>
  <c r="AA992" i="1"/>
  <c r="AB991" i="1"/>
  <c r="AA991" i="1"/>
  <c r="AB990" i="1"/>
  <c r="AA990" i="1"/>
  <c r="AB989" i="1"/>
  <c r="AA989" i="1"/>
  <c r="AB988" i="1"/>
  <c r="AA988" i="1"/>
  <c r="AB987" i="1"/>
  <c r="AA987" i="1"/>
  <c r="AB986" i="1"/>
  <c r="AA986" i="1"/>
  <c r="AB985" i="1"/>
  <c r="AA985" i="1"/>
  <c r="AB984" i="1"/>
  <c r="AA984" i="1"/>
  <c r="AB983" i="1"/>
  <c r="AA983" i="1"/>
  <c r="AB982" i="1"/>
  <c r="AA982" i="1"/>
  <c r="AB981" i="1"/>
  <c r="AA981" i="1"/>
  <c r="AB980" i="1"/>
  <c r="AA980" i="1"/>
  <c r="AB979" i="1"/>
  <c r="AA979" i="1"/>
  <c r="AB978" i="1"/>
  <c r="AA978" i="1"/>
  <c r="AB977" i="1"/>
  <c r="AA977" i="1"/>
  <c r="AB976" i="1"/>
  <c r="AA976" i="1"/>
  <c r="AB975" i="1"/>
  <c r="AA975" i="1"/>
  <c r="AB974" i="1"/>
  <c r="AA974" i="1"/>
  <c r="AB973" i="1"/>
  <c r="AA973" i="1"/>
  <c r="AB972" i="1"/>
  <c r="AA972" i="1"/>
  <c r="AB971" i="1"/>
  <c r="AA971" i="1"/>
  <c r="AB970" i="1"/>
  <c r="AA970" i="1"/>
  <c r="AB969" i="1"/>
  <c r="AA969" i="1"/>
  <c r="AB968" i="1"/>
  <c r="AA968" i="1"/>
  <c r="AB967" i="1"/>
  <c r="AA967" i="1"/>
  <c r="AB966" i="1"/>
  <c r="AA966" i="1"/>
  <c r="AB965" i="1"/>
  <c r="AA965" i="1"/>
  <c r="AB964" i="1"/>
  <c r="AA964" i="1"/>
  <c r="AB963" i="1"/>
  <c r="AA963" i="1"/>
  <c r="AB962" i="1"/>
  <c r="AA962" i="1"/>
  <c r="AB961" i="1"/>
  <c r="AA961" i="1"/>
  <c r="AB960" i="1"/>
  <c r="AA960" i="1"/>
  <c r="AB959" i="1"/>
  <c r="AA959" i="1"/>
  <c r="AB958" i="1"/>
  <c r="AA958" i="1"/>
  <c r="AB957" i="1"/>
  <c r="AA957" i="1"/>
  <c r="AB956" i="1"/>
  <c r="AA956" i="1"/>
  <c r="AB955" i="1"/>
  <c r="AA955" i="1"/>
  <c r="AB954" i="1"/>
  <c r="AA954" i="1"/>
  <c r="AB953" i="1"/>
  <c r="AA953" i="1"/>
  <c r="AB952" i="1"/>
  <c r="AA952" i="1"/>
  <c r="AB951" i="1"/>
  <c r="AA951" i="1"/>
  <c r="AB950" i="1"/>
  <c r="AA950" i="1"/>
  <c r="AB949" i="1"/>
  <c r="AA949" i="1"/>
  <c r="AB948" i="1"/>
  <c r="AA948" i="1"/>
  <c r="AB947" i="1"/>
  <c r="AA947" i="1"/>
  <c r="AB946" i="1"/>
  <c r="AA946" i="1"/>
  <c r="AB945" i="1"/>
  <c r="AA945" i="1"/>
  <c r="AB944" i="1"/>
  <c r="AA944" i="1"/>
  <c r="AB943" i="1"/>
  <c r="AA943" i="1"/>
  <c r="AB942" i="1"/>
  <c r="AA942" i="1"/>
  <c r="AB941" i="1"/>
  <c r="AA941" i="1"/>
  <c r="AB940" i="1"/>
  <c r="AA940" i="1"/>
  <c r="AB939" i="1"/>
  <c r="AA939" i="1"/>
  <c r="AB938" i="1"/>
  <c r="AA938" i="1"/>
  <c r="AB937" i="1"/>
  <c r="AA937" i="1"/>
  <c r="AB936" i="1"/>
  <c r="AA936" i="1"/>
  <c r="AB935" i="1"/>
  <c r="AA935" i="1"/>
  <c r="AB934" i="1"/>
  <c r="AA934" i="1"/>
  <c r="AB933" i="1"/>
  <c r="AA933" i="1"/>
  <c r="AB932" i="1"/>
  <c r="AA932" i="1"/>
  <c r="AB931" i="1"/>
  <c r="AA931" i="1"/>
  <c r="AB930" i="1"/>
  <c r="AA930" i="1"/>
  <c r="AB929" i="1"/>
  <c r="AA929" i="1"/>
  <c r="AB928" i="1"/>
  <c r="AA928" i="1"/>
  <c r="AB927" i="1"/>
  <c r="AA927" i="1"/>
  <c r="AB926" i="1"/>
  <c r="AA926" i="1"/>
  <c r="AB925" i="1"/>
  <c r="AA925" i="1"/>
  <c r="AB924" i="1"/>
  <c r="AA924" i="1"/>
  <c r="AB923" i="1"/>
  <c r="AA923" i="1"/>
  <c r="AB922" i="1"/>
  <c r="AA922" i="1"/>
  <c r="AB921" i="1"/>
  <c r="AA921" i="1"/>
  <c r="AB920" i="1"/>
  <c r="AA920" i="1"/>
  <c r="AB919" i="1"/>
  <c r="AA919" i="1"/>
  <c r="AB918" i="1"/>
  <c r="AA918" i="1"/>
  <c r="AB917" i="1"/>
  <c r="AA917" i="1"/>
  <c r="AB916" i="1"/>
  <c r="AA916" i="1"/>
  <c r="AB915" i="1"/>
  <c r="AA915" i="1"/>
  <c r="AB914" i="1"/>
  <c r="AA914" i="1"/>
  <c r="AB913" i="1"/>
  <c r="AA913" i="1"/>
  <c r="AB912" i="1"/>
  <c r="AA912" i="1"/>
  <c r="AB911" i="1"/>
  <c r="AA911" i="1"/>
  <c r="AB910" i="1"/>
  <c r="AA910" i="1"/>
  <c r="AB909" i="1"/>
  <c r="AA909" i="1"/>
  <c r="AB908" i="1"/>
  <c r="AA908" i="1"/>
  <c r="AB907" i="1"/>
  <c r="AA907" i="1"/>
  <c r="AB906" i="1"/>
  <c r="AA906" i="1"/>
  <c r="AB905" i="1"/>
  <c r="AA905" i="1"/>
  <c r="AB904" i="1"/>
  <c r="AA904" i="1"/>
  <c r="AB903" i="1"/>
  <c r="AA903" i="1"/>
  <c r="AB902" i="1"/>
  <c r="AA902" i="1"/>
  <c r="AB901" i="1"/>
  <c r="AA901" i="1"/>
  <c r="AB900" i="1"/>
  <c r="AA900" i="1"/>
  <c r="AB899" i="1"/>
  <c r="AA899" i="1"/>
  <c r="AB898" i="1"/>
  <c r="AA898" i="1"/>
  <c r="AB897" i="1"/>
  <c r="AA897" i="1"/>
  <c r="AB896" i="1"/>
  <c r="AA896" i="1"/>
  <c r="AB895" i="1"/>
  <c r="AA895" i="1"/>
  <c r="AB894" i="1"/>
  <c r="AA894" i="1"/>
  <c r="AB893" i="1"/>
  <c r="AA893" i="1"/>
  <c r="AB892" i="1"/>
  <c r="AA892" i="1"/>
  <c r="AB891" i="1"/>
  <c r="AA891" i="1"/>
  <c r="AB890" i="1"/>
  <c r="AA890" i="1"/>
  <c r="AB889" i="1"/>
  <c r="AA889" i="1"/>
  <c r="AB888" i="1"/>
  <c r="AA888" i="1"/>
  <c r="AB887" i="1"/>
  <c r="AA887" i="1"/>
  <c r="AB886" i="1"/>
  <c r="AA886" i="1"/>
  <c r="AB885" i="1"/>
  <c r="AA885" i="1"/>
  <c r="AB884" i="1"/>
  <c r="AA884" i="1"/>
  <c r="AB883" i="1"/>
  <c r="AA883" i="1"/>
  <c r="AB882" i="1"/>
  <c r="AA882" i="1"/>
  <c r="AB881" i="1"/>
  <c r="AA881" i="1"/>
  <c r="AB880" i="1"/>
  <c r="AA880" i="1"/>
  <c r="AB879" i="1"/>
  <c r="AA879" i="1"/>
  <c r="AB878" i="1"/>
  <c r="AA878" i="1"/>
  <c r="AB877" i="1"/>
  <c r="AA877" i="1"/>
  <c r="AB876" i="1"/>
  <c r="AA876" i="1"/>
  <c r="AB875" i="1"/>
  <c r="AA875" i="1"/>
  <c r="AB874" i="1"/>
  <c r="AA874" i="1"/>
  <c r="AB873" i="1"/>
  <c r="AA873" i="1"/>
  <c r="AB872" i="1"/>
  <c r="AA872" i="1"/>
  <c r="AB871" i="1"/>
  <c r="AA871" i="1"/>
  <c r="AB870" i="1"/>
  <c r="AA870" i="1"/>
  <c r="AB869" i="1"/>
  <c r="AA869" i="1"/>
  <c r="AB868" i="1"/>
  <c r="AA868" i="1"/>
  <c r="AB867" i="1"/>
  <c r="AA867" i="1"/>
  <c r="AB866" i="1"/>
  <c r="AA866" i="1"/>
  <c r="AB865" i="1"/>
  <c r="AA865" i="1"/>
  <c r="AB864" i="1"/>
  <c r="AA864" i="1"/>
  <c r="AB863" i="1"/>
  <c r="AA863" i="1"/>
  <c r="AB862" i="1"/>
  <c r="AA862" i="1"/>
  <c r="AB861" i="1"/>
  <c r="AA861" i="1"/>
  <c r="AB860" i="1"/>
  <c r="AA860" i="1"/>
  <c r="AB859" i="1"/>
  <c r="AA859" i="1"/>
  <c r="AB858" i="1"/>
  <c r="AA858" i="1"/>
  <c r="AB857" i="1"/>
  <c r="AA857" i="1"/>
  <c r="AB856" i="1"/>
  <c r="AA856" i="1"/>
  <c r="AB855" i="1"/>
  <c r="AA855" i="1"/>
  <c r="AB854" i="1"/>
  <c r="AA854" i="1"/>
  <c r="AB853" i="1"/>
  <c r="AA853" i="1"/>
  <c r="AB852" i="1"/>
  <c r="AA852" i="1"/>
  <c r="AB851" i="1"/>
  <c r="AA851" i="1"/>
  <c r="AB850" i="1"/>
  <c r="AA850" i="1"/>
  <c r="AB849" i="1"/>
  <c r="AA849" i="1"/>
  <c r="AB848" i="1"/>
  <c r="AA848" i="1"/>
  <c r="AB847" i="1"/>
  <c r="AA847" i="1"/>
  <c r="AB846" i="1"/>
  <c r="AA846" i="1"/>
  <c r="AB845" i="1"/>
  <c r="AA845" i="1"/>
  <c r="AB844" i="1"/>
  <c r="AA844" i="1"/>
  <c r="AB843" i="1"/>
  <c r="AA843" i="1"/>
  <c r="AB842" i="1"/>
  <c r="AA842" i="1"/>
  <c r="AB841" i="1"/>
  <c r="AA841" i="1"/>
  <c r="AB840" i="1"/>
  <c r="AA840" i="1"/>
  <c r="AB839" i="1"/>
  <c r="AA839" i="1"/>
  <c r="AB838" i="1"/>
  <c r="AA838" i="1"/>
  <c r="AB837" i="1"/>
  <c r="AA837" i="1"/>
  <c r="AB836" i="1"/>
  <c r="AA836" i="1"/>
  <c r="AB835" i="1"/>
  <c r="AA835" i="1"/>
  <c r="AB834" i="1"/>
  <c r="AA834" i="1"/>
  <c r="AB833" i="1"/>
  <c r="AA833" i="1"/>
  <c r="AB832" i="1"/>
  <c r="AA832" i="1"/>
  <c r="AB831" i="1"/>
  <c r="AA831" i="1"/>
  <c r="AB830" i="1"/>
  <c r="AA830" i="1"/>
  <c r="AB829" i="1"/>
  <c r="AA829" i="1"/>
  <c r="AB828" i="1"/>
  <c r="AA828" i="1"/>
  <c r="AB827" i="1"/>
  <c r="AA827" i="1"/>
  <c r="AB826" i="1"/>
  <c r="AA826" i="1"/>
  <c r="AB825" i="1"/>
  <c r="AA825" i="1"/>
  <c r="AB824" i="1"/>
  <c r="AA824" i="1"/>
  <c r="AB823" i="1"/>
  <c r="AA823" i="1"/>
  <c r="AB822" i="1"/>
  <c r="AA822" i="1"/>
  <c r="AB821" i="1"/>
  <c r="AA821" i="1"/>
  <c r="AB820" i="1"/>
  <c r="AA820" i="1"/>
  <c r="AB819" i="1"/>
  <c r="AA819" i="1"/>
  <c r="AB818" i="1"/>
  <c r="AA818" i="1"/>
  <c r="AB817" i="1"/>
  <c r="AA817" i="1"/>
  <c r="AB816" i="1"/>
  <c r="AA816" i="1"/>
  <c r="AB815" i="1"/>
  <c r="AA815" i="1"/>
  <c r="AB814" i="1"/>
  <c r="AA814" i="1"/>
  <c r="AB813" i="1"/>
  <c r="AA813" i="1"/>
  <c r="AB812" i="1"/>
  <c r="AA812" i="1"/>
  <c r="AB811" i="1"/>
  <c r="AA811" i="1"/>
  <c r="AB810" i="1"/>
  <c r="AA810" i="1"/>
  <c r="AB809" i="1"/>
  <c r="AA809" i="1"/>
  <c r="AB808" i="1"/>
  <c r="AA808" i="1"/>
  <c r="AB807" i="1"/>
  <c r="AA807" i="1"/>
  <c r="AB806" i="1"/>
  <c r="AA806" i="1"/>
  <c r="AB805" i="1"/>
  <c r="AA805" i="1"/>
  <c r="AB804" i="1"/>
  <c r="AA804" i="1"/>
  <c r="AB803" i="1"/>
  <c r="AA803" i="1"/>
  <c r="AB802" i="1"/>
  <c r="AA802" i="1"/>
  <c r="AB801" i="1"/>
  <c r="AA801" i="1"/>
  <c r="AB800" i="1"/>
  <c r="AA800" i="1"/>
  <c r="AB799" i="1"/>
  <c r="AA799" i="1"/>
  <c r="AB798" i="1"/>
  <c r="AA798" i="1"/>
  <c r="AB797" i="1"/>
  <c r="AA797" i="1"/>
  <c r="AB796" i="1"/>
  <c r="AA796" i="1"/>
  <c r="AB795" i="1"/>
  <c r="AA795" i="1"/>
  <c r="AB794" i="1"/>
  <c r="AA794" i="1"/>
  <c r="AB793" i="1"/>
  <c r="AA793" i="1"/>
  <c r="AB792" i="1"/>
  <c r="AA792" i="1"/>
  <c r="AB791" i="1"/>
  <c r="AA791" i="1"/>
  <c r="AB790" i="1"/>
  <c r="AA790" i="1"/>
  <c r="AB789" i="1"/>
  <c r="AA789" i="1"/>
  <c r="AB788" i="1"/>
  <c r="AA788" i="1"/>
  <c r="AB787" i="1"/>
  <c r="AA787" i="1"/>
  <c r="AB786" i="1"/>
  <c r="AA786" i="1"/>
  <c r="AB785" i="1"/>
  <c r="AA785" i="1"/>
  <c r="AB784" i="1"/>
  <c r="AA784" i="1"/>
  <c r="AB783" i="1"/>
  <c r="AA783" i="1"/>
  <c r="AB782" i="1"/>
  <c r="AA782" i="1"/>
  <c r="AB781" i="1"/>
  <c r="AA781" i="1"/>
  <c r="AB780" i="1"/>
  <c r="AA780" i="1"/>
  <c r="AB779" i="1"/>
  <c r="AA779" i="1"/>
  <c r="AB778" i="1"/>
  <c r="AA778" i="1"/>
  <c r="AB777" i="1"/>
  <c r="AA777" i="1"/>
  <c r="AB776" i="1"/>
  <c r="AA776" i="1"/>
  <c r="AB775" i="1"/>
  <c r="AA775" i="1"/>
  <c r="AB774" i="1"/>
  <c r="AA774" i="1"/>
  <c r="AB773" i="1"/>
  <c r="AA773" i="1"/>
  <c r="AB772" i="1"/>
  <c r="AA772" i="1"/>
  <c r="AB771" i="1"/>
  <c r="AA771" i="1"/>
  <c r="AB770" i="1"/>
  <c r="AA770" i="1"/>
  <c r="AB769" i="1"/>
  <c r="AA769" i="1"/>
  <c r="AB768" i="1"/>
  <c r="AA768" i="1"/>
  <c r="AB767" i="1"/>
  <c r="AA767" i="1"/>
  <c r="AB766" i="1"/>
  <c r="AA766" i="1"/>
  <c r="AB765" i="1"/>
  <c r="AA765" i="1"/>
  <c r="AB764" i="1"/>
  <c r="AA764" i="1"/>
  <c r="AB763" i="1"/>
  <c r="AA763" i="1"/>
  <c r="AB762" i="1"/>
  <c r="AA762" i="1"/>
  <c r="AB761" i="1"/>
  <c r="AA761" i="1"/>
  <c r="AB760" i="1"/>
  <c r="AA760" i="1"/>
  <c r="AB759" i="1"/>
  <c r="AA759" i="1"/>
  <c r="AB758" i="1"/>
  <c r="AA758" i="1"/>
  <c r="AB757" i="1"/>
  <c r="AA757" i="1"/>
  <c r="AB756" i="1"/>
  <c r="AA756" i="1"/>
  <c r="AB755" i="1"/>
  <c r="AA755" i="1"/>
  <c r="AB754" i="1"/>
  <c r="AA754" i="1"/>
  <c r="AB753" i="1"/>
  <c r="AA753" i="1"/>
  <c r="AB752" i="1"/>
  <c r="AA752" i="1"/>
  <c r="AB751" i="1"/>
  <c r="AA751" i="1"/>
  <c r="AB750" i="1"/>
  <c r="AA750" i="1"/>
  <c r="AB749" i="1"/>
  <c r="AA749" i="1"/>
  <c r="AB748" i="1"/>
  <c r="AA748" i="1"/>
  <c r="AB747" i="1"/>
  <c r="AA747" i="1"/>
  <c r="AB746" i="1"/>
  <c r="AA746" i="1"/>
  <c r="AB745" i="1"/>
  <c r="AA745" i="1"/>
  <c r="AB744" i="1"/>
  <c r="AA744" i="1"/>
  <c r="AB743" i="1"/>
  <c r="AA743" i="1"/>
  <c r="AB742" i="1"/>
  <c r="AA742" i="1"/>
  <c r="AB741" i="1"/>
  <c r="AA741" i="1"/>
  <c r="AB740" i="1"/>
  <c r="AA740" i="1"/>
  <c r="AB739" i="1"/>
  <c r="AA739" i="1"/>
  <c r="AB738" i="1"/>
  <c r="AA738" i="1"/>
  <c r="AB737" i="1"/>
  <c r="AA737" i="1"/>
  <c r="AB736" i="1"/>
  <c r="AA736" i="1"/>
  <c r="AB735" i="1"/>
  <c r="AA735" i="1"/>
  <c r="AB734" i="1"/>
  <c r="AA734" i="1"/>
  <c r="AB733" i="1"/>
  <c r="AA733" i="1"/>
  <c r="AB732" i="1"/>
  <c r="AA732" i="1"/>
  <c r="AB731" i="1"/>
  <c r="AA731" i="1"/>
  <c r="AB730" i="1"/>
  <c r="AA730" i="1"/>
  <c r="AB729" i="1"/>
  <c r="AA729" i="1"/>
  <c r="AB728" i="1"/>
  <c r="AA728" i="1"/>
  <c r="AB727" i="1"/>
  <c r="AA727" i="1"/>
  <c r="AB726" i="1"/>
  <c r="AA726" i="1"/>
  <c r="AB725" i="1"/>
  <c r="AA725" i="1"/>
  <c r="AB724" i="1"/>
  <c r="AA724" i="1"/>
  <c r="AB723" i="1"/>
  <c r="AA723" i="1"/>
  <c r="AB722" i="1"/>
  <c r="AA722" i="1"/>
  <c r="AB721" i="1"/>
  <c r="AA721" i="1"/>
  <c r="AB720" i="1"/>
  <c r="AA720" i="1"/>
  <c r="AB719" i="1"/>
  <c r="AA719" i="1"/>
  <c r="AB718" i="1"/>
  <c r="AA718" i="1"/>
  <c r="AB717" i="1"/>
  <c r="AA717" i="1"/>
  <c r="AB716" i="1"/>
  <c r="AA716" i="1"/>
  <c r="AB715" i="1"/>
  <c r="AA715" i="1"/>
  <c r="AB714" i="1"/>
  <c r="AA714" i="1"/>
  <c r="AB713" i="1"/>
  <c r="AA713" i="1"/>
  <c r="AB712" i="1"/>
  <c r="AA712" i="1"/>
  <c r="AB711" i="1"/>
  <c r="AA711" i="1"/>
  <c r="AB710" i="1"/>
  <c r="AA710" i="1"/>
  <c r="AB709" i="1"/>
  <c r="AA709" i="1"/>
  <c r="AB708" i="1"/>
  <c r="AA708" i="1"/>
  <c r="AB707" i="1"/>
  <c r="AA707" i="1"/>
  <c r="AB706" i="1"/>
  <c r="AA706" i="1"/>
  <c r="AB705" i="1"/>
  <c r="AA705" i="1"/>
  <c r="AB704" i="1"/>
  <c r="AA704" i="1"/>
  <c r="AB703" i="1"/>
  <c r="AA703" i="1"/>
  <c r="AB702" i="1"/>
  <c r="AA702" i="1"/>
  <c r="AB701" i="1"/>
  <c r="AA701" i="1"/>
  <c r="AB700" i="1"/>
  <c r="AA700" i="1"/>
  <c r="AB699" i="1"/>
  <c r="AA699" i="1"/>
  <c r="AB698" i="1"/>
  <c r="AA698" i="1"/>
  <c r="AB697" i="1"/>
  <c r="AA697" i="1"/>
  <c r="AB696" i="1"/>
  <c r="AA696" i="1"/>
  <c r="AB695" i="1"/>
  <c r="AA695" i="1"/>
  <c r="AB694" i="1"/>
  <c r="AA694" i="1"/>
  <c r="AB693" i="1"/>
  <c r="AA693" i="1"/>
  <c r="AB692" i="1"/>
  <c r="AA692" i="1"/>
  <c r="AB691" i="1"/>
  <c r="AA691" i="1"/>
  <c r="AB690" i="1"/>
  <c r="AA690" i="1"/>
  <c r="AB689" i="1"/>
  <c r="AA689" i="1"/>
  <c r="AB688" i="1"/>
  <c r="AA688" i="1"/>
  <c r="AB687" i="1"/>
  <c r="AA687" i="1"/>
  <c r="AB686" i="1"/>
  <c r="AA686" i="1"/>
  <c r="AB685" i="1"/>
  <c r="AA685" i="1"/>
  <c r="AB684" i="1"/>
  <c r="AA684" i="1"/>
  <c r="AB683" i="1"/>
  <c r="AA683" i="1"/>
  <c r="AB682" i="1"/>
  <c r="AA682" i="1"/>
  <c r="AB681" i="1"/>
  <c r="AA681" i="1"/>
  <c r="AB680" i="1"/>
  <c r="AA680" i="1"/>
  <c r="AB679" i="1"/>
  <c r="AA679" i="1"/>
  <c r="AB678" i="1"/>
  <c r="AA678" i="1"/>
  <c r="AB677" i="1"/>
  <c r="AA677" i="1"/>
  <c r="AB676" i="1"/>
  <c r="AA676" i="1"/>
  <c r="AB675" i="1"/>
  <c r="AA675" i="1"/>
  <c r="AB674" i="1"/>
  <c r="AA674" i="1"/>
  <c r="AB673" i="1"/>
  <c r="AA673" i="1"/>
  <c r="AB672" i="1"/>
  <c r="AA672" i="1"/>
  <c r="AB671" i="1"/>
  <c r="AA671" i="1"/>
  <c r="AB670" i="1"/>
  <c r="AA670" i="1"/>
  <c r="AB669" i="1"/>
  <c r="AA669" i="1"/>
  <c r="AB668" i="1"/>
  <c r="AA668" i="1"/>
  <c r="AB667" i="1"/>
  <c r="AA667" i="1"/>
  <c r="AB666" i="1"/>
  <c r="AA666" i="1"/>
  <c r="AB665" i="1"/>
  <c r="AA665" i="1"/>
  <c r="AB664" i="1"/>
  <c r="AA664" i="1"/>
  <c r="AB663" i="1"/>
  <c r="AA663" i="1"/>
  <c r="AB662" i="1"/>
  <c r="AA662" i="1"/>
  <c r="AB661" i="1"/>
  <c r="AA661" i="1"/>
  <c r="AB660" i="1"/>
  <c r="AA660" i="1"/>
  <c r="AB659" i="1"/>
  <c r="AA659" i="1"/>
  <c r="AB658" i="1"/>
  <c r="AA658" i="1"/>
  <c r="AB657" i="1"/>
  <c r="AA657" i="1"/>
  <c r="AB656" i="1"/>
  <c r="AA656" i="1"/>
  <c r="AB655" i="1"/>
  <c r="AA655" i="1"/>
  <c r="AB654" i="1"/>
  <c r="AA654" i="1"/>
  <c r="AB653" i="1"/>
  <c r="AA653" i="1"/>
  <c r="AB652" i="1"/>
  <c r="AA652" i="1"/>
  <c r="AB651" i="1"/>
  <c r="AA651" i="1"/>
  <c r="AB650" i="1"/>
  <c r="AA650" i="1"/>
  <c r="AB649" i="1"/>
  <c r="AA649" i="1"/>
  <c r="AB648" i="1"/>
  <c r="AA648" i="1"/>
  <c r="AB647" i="1"/>
  <c r="AA647" i="1"/>
  <c r="AB646" i="1"/>
  <c r="AA646" i="1"/>
  <c r="AB645" i="1"/>
  <c r="AA645" i="1"/>
  <c r="AB644" i="1"/>
  <c r="AA644" i="1"/>
  <c r="AB643" i="1"/>
  <c r="AA643" i="1"/>
  <c r="AB642" i="1"/>
  <c r="AA642" i="1"/>
  <c r="AB641" i="1"/>
  <c r="AA641" i="1"/>
  <c r="AB640" i="1"/>
  <c r="AA640" i="1"/>
  <c r="AB639" i="1"/>
  <c r="AA639" i="1"/>
  <c r="AB638" i="1"/>
  <c r="AA638" i="1"/>
  <c r="AB637" i="1"/>
  <c r="AA637" i="1"/>
  <c r="AB636" i="1"/>
  <c r="AA636" i="1"/>
  <c r="AB635" i="1"/>
  <c r="AA635" i="1"/>
  <c r="AB634" i="1"/>
  <c r="AA634" i="1"/>
  <c r="AB633" i="1"/>
  <c r="AA633" i="1"/>
  <c r="AB632" i="1"/>
  <c r="AA632" i="1"/>
  <c r="AB631" i="1"/>
  <c r="AA631" i="1"/>
  <c r="AB630" i="1"/>
  <c r="AA630" i="1"/>
  <c r="AB629" i="1"/>
  <c r="AA629" i="1"/>
  <c r="AB628" i="1"/>
  <c r="AA628" i="1"/>
  <c r="AB627" i="1"/>
  <c r="AA627" i="1"/>
  <c r="AB626" i="1"/>
  <c r="AA626" i="1"/>
  <c r="AB625" i="1"/>
  <c r="AA625" i="1"/>
  <c r="AB624" i="1"/>
  <c r="AA624" i="1"/>
  <c r="AB623" i="1"/>
  <c r="AA623" i="1"/>
  <c r="AB622" i="1"/>
  <c r="AA622" i="1"/>
  <c r="AB621" i="1"/>
  <c r="AA621" i="1"/>
  <c r="AB620" i="1"/>
  <c r="AA620" i="1"/>
  <c r="AB619" i="1"/>
  <c r="AA619" i="1"/>
  <c r="AB618" i="1"/>
  <c r="AA618" i="1"/>
  <c r="AB617" i="1"/>
  <c r="AA617" i="1"/>
  <c r="AB616" i="1"/>
  <c r="AA616" i="1"/>
  <c r="AB615" i="1"/>
  <c r="AA615" i="1"/>
  <c r="AB614" i="1"/>
  <c r="AA614" i="1"/>
  <c r="AB613" i="1"/>
  <c r="AA613" i="1"/>
  <c r="AB612" i="1"/>
  <c r="AA612" i="1"/>
  <c r="AB611" i="1"/>
  <c r="AA611" i="1"/>
  <c r="AB610" i="1"/>
  <c r="AA610" i="1"/>
  <c r="AB609" i="1"/>
  <c r="AA609" i="1"/>
  <c r="AB608" i="1"/>
  <c r="AA608" i="1"/>
  <c r="AB607" i="1"/>
  <c r="AA607" i="1"/>
  <c r="AB606" i="1"/>
  <c r="AA606" i="1"/>
  <c r="AB605" i="1"/>
  <c r="AA605" i="1"/>
  <c r="AB604" i="1"/>
  <c r="AA604" i="1"/>
  <c r="AB603" i="1"/>
  <c r="AA603" i="1"/>
  <c r="AB602" i="1"/>
  <c r="AA602" i="1"/>
  <c r="AB601" i="1"/>
  <c r="AA601" i="1"/>
  <c r="AB600" i="1"/>
  <c r="AA600" i="1"/>
  <c r="AB599" i="1"/>
  <c r="AA599" i="1"/>
  <c r="AB598" i="1"/>
  <c r="AA598" i="1"/>
  <c r="AB597" i="1"/>
  <c r="AA597" i="1"/>
  <c r="AB596" i="1"/>
  <c r="AA596" i="1"/>
  <c r="AB595" i="1"/>
  <c r="AA595" i="1"/>
  <c r="AB594" i="1"/>
  <c r="AA594" i="1"/>
  <c r="AB593" i="1"/>
  <c r="AA593" i="1"/>
  <c r="AB592" i="1"/>
  <c r="AA592" i="1"/>
  <c r="AB591" i="1"/>
  <c r="AA591" i="1"/>
  <c r="AB590" i="1"/>
  <c r="AA590" i="1"/>
  <c r="AB589" i="1"/>
  <c r="AA589" i="1"/>
  <c r="AB588" i="1"/>
  <c r="AA588" i="1"/>
  <c r="AB587" i="1"/>
  <c r="AA587" i="1"/>
  <c r="AB586" i="1"/>
  <c r="AA586" i="1"/>
  <c r="AB585" i="1"/>
  <c r="AA585" i="1"/>
  <c r="AB584" i="1"/>
  <c r="AA584" i="1"/>
  <c r="AB583" i="1"/>
  <c r="AA583" i="1"/>
  <c r="AB582" i="1"/>
  <c r="AA582" i="1"/>
  <c r="AB581" i="1"/>
  <c r="AA581" i="1"/>
  <c r="AB580" i="1"/>
  <c r="AA580" i="1"/>
  <c r="AB579" i="1"/>
  <c r="AA579" i="1"/>
  <c r="AB578" i="1"/>
  <c r="AA578" i="1"/>
  <c r="AB577" i="1"/>
  <c r="AA577" i="1"/>
  <c r="AB576" i="1"/>
  <c r="AA576" i="1"/>
  <c r="AB575" i="1"/>
  <c r="AA575" i="1"/>
  <c r="AB574" i="1"/>
  <c r="AA574" i="1"/>
  <c r="AB573" i="1"/>
  <c r="AA573" i="1"/>
  <c r="AB572" i="1"/>
  <c r="AA572" i="1"/>
  <c r="AB571" i="1"/>
  <c r="AA571" i="1"/>
  <c r="AB570" i="1"/>
  <c r="AA570" i="1"/>
  <c r="AB569" i="1"/>
  <c r="AA569" i="1"/>
  <c r="AB568" i="1"/>
  <c r="AA568" i="1"/>
  <c r="AB567" i="1"/>
  <c r="AA567" i="1"/>
  <c r="AB566" i="1"/>
  <c r="AA566" i="1"/>
  <c r="AB565" i="1"/>
  <c r="AA565" i="1"/>
  <c r="AB564" i="1"/>
  <c r="AA564" i="1"/>
  <c r="AB563" i="1"/>
  <c r="AA563" i="1"/>
  <c r="AB562" i="1"/>
  <c r="AA562" i="1"/>
  <c r="AB561" i="1"/>
  <c r="AA561" i="1"/>
  <c r="AB560" i="1"/>
  <c r="AA560" i="1"/>
  <c r="AB559" i="1"/>
  <c r="AA559" i="1"/>
  <c r="AB558" i="1"/>
  <c r="AA558" i="1"/>
  <c r="AB557" i="1"/>
  <c r="AA557" i="1"/>
  <c r="AB556" i="1"/>
  <c r="AA556" i="1"/>
  <c r="AB555" i="1"/>
  <c r="AA555" i="1"/>
  <c r="AB554" i="1"/>
  <c r="AA554" i="1"/>
  <c r="AB553" i="1"/>
  <c r="AA553" i="1"/>
  <c r="AB552" i="1"/>
  <c r="AA552" i="1"/>
  <c r="AB551" i="1"/>
  <c r="AA551" i="1"/>
  <c r="AB550" i="1"/>
  <c r="AA550" i="1"/>
  <c r="AB549" i="1"/>
  <c r="AA549" i="1"/>
  <c r="AB548" i="1"/>
  <c r="AA548" i="1"/>
  <c r="AB547" i="1"/>
  <c r="AA547" i="1"/>
  <c r="AB546" i="1"/>
  <c r="AA546" i="1"/>
  <c r="AB545" i="1"/>
  <c r="AA545" i="1"/>
  <c r="AB544" i="1"/>
  <c r="AA544" i="1"/>
  <c r="AB543" i="1"/>
  <c r="AA543" i="1"/>
  <c r="AB542" i="1"/>
  <c r="AA542" i="1"/>
  <c r="AB541" i="1"/>
  <c r="AA541" i="1"/>
  <c r="AB540" i="1"/>
  <c r="AA540" i="1"/>
  <c r="AB539" i="1"/>
  <c r="AA539" i="1"/>
  <c r="AB538" i="1"/>
  <c r="AA538" i="1"/>
  <c r="AB537" i="1"/>
  <c r="AA537" i="1"/>
  <c r="AB536" i="1"/>
  <c r="AA536" i="1"/>
  <c r="AB535" i="1"/>
  <c r="AA535" i="1"/>
  <c r="AB534" i="1"/>
  <c r="AA534" i="1"/>
  <c r="AB533" i="1"/>
  <c r="AA533" i="1"/>
  <c r="AB532" i="1"/>
  <c r="AA532" i="1"/>
  <c r="AB531" i="1"/>
  <c r="AA531" i="1"/>
  <c r="AB530" i="1"/>
  <c r="AA530" i="1"/>
  <c r="AB529" i="1"/>
  <c r="AA529" i="1"/>
  <c r="AB528" i="1"/>
  <c r="AA528" i="1"/>
  <c r="AB527" i="1"/>
  <c r="AA527" i="1"/>
  <c r="AB526" i="1"/>
  <c r="AA526" i="1"/>
  <c r="AB525" i="1"/>
  <c r="AA525" i="1"/>
  <c r="AB524" i="1"/>
  <c r="AA524" i="1"/>
  <c r="AB523" i="1"/>
  <c r="AA523" i="1"/>
  <c r="AB522" i="1"/>
  <c r="AA522" i="1"/>
  <c r="AB521" i="1"/>
  <c r="AA521" i="1"/>
  <c r="AB520" i="1"/>
  <c r="AA520" i="1"/>
  <c r="AB519" i="1"/>
  <c r="AA519" i="1"/>
  <c r="AB518" i="1"/>
  <c r="AA518" i="1"/>
  <c r="AB517" i="1"/>
  <c r="AA517" i="1"/>
  <c r="AB516" i="1"/>
  <c r="AA516" i="1"/>
  <c r="AB515" i="1"/>
  <c r="AA515" i="1"/>
  <c r="AB514" i="1"/>
  <c r="AA514" i="1"/>
  <c r="AB513" i="1"/>
  <c r="AA513" i="1"/>
  <c r="AB512" i="1"/>
  <c r="AA512" i="1"/>
  <c r="AB511" i="1"/>
  <c r="AA511" i="1"/>
  <c r="AB510" i="1"/>
  <c r="AA510" i="1"/>
  <c r="AB509" i="1"/>
  <c r="AA509" i="1"/>
  <c r="AB508" i="1"/>
  <c r="AA508" i="1"/>
  <c r="AB507" i="1"/>
  <c r="AA507" i="1"/>
  <c r="AB506" i="1"/>
  <c r="AA506" i="1"/>
  <c r="AB505" i="1"/>
  <c r="AA505" i="1"/>
  <c r="AB504" i="1"/>
  <c r="AA504" i="1"/>
  <c r="AB503" i="1"/>
  <c r="AA503" i="1"/>
  <c r="AB502" i="1"/>
  <c r="AA502" i="1"/>
  <c r="AB501" i="1"/>
  <c r="AA501" i="1"/>
  <c r="AB500" i="1"/>
  <c r="AA500" i="1"/>
  <c r="AB499" i="1"/>
  <c r="AA499" i="1"/>
  <c r="AB498" i="1"/>
  <c r="AA498" i="1"/>
  <c r="AB497" i="1"/>
  <c r="AA497" i="1"/>
  <c r="AB496" i="1"/>
  <c r="AA496" i="1"/>
  <c r="AB495" i="1"/>
  <c r="AA495" i="1"/>
  <c r="AB494" i="1"/>
  <c r="AA494" i="1"/>
  <c r="AB493" i="1"/>
  <c r="AA493" i="1"/>
  <c r="AB492" i="1"/>
  <c r="AA492" i="1"/>
  <c r="AB491" i="1"/>
  <c r="AA491" i="1"/>
  <c r="AB490" i="1"/>
  <c r="AA490" i="1"/>
  <c r="AB489" i="1"/>
  <c r="AA489" i="1"/>
  <c r="AB488" i="1"/>
  <c r="AA488" i="1"/>
  <c r="AB487" i="1"/>
  <c r="AA487" i="1"/>
  <c r="AB486" i="1"/>
  <c r="AA486" i="1"/>
  <c r="AB485" i="1"/>
  <c r="AA485" i="1"/>
  <c r="AB484" i="1"/>
  <c r="AA484" i="1"/>
  <c r="AB483" i="1"/>
  <c r="AA483" i="1"/>
  <c r="AB482" i="1"/>
  <c r="AA482" i="1"/>
  <c r="AB481" i="1"/>
  <c r="AA481" i="1"/>
  <c r="AB480" i="1"/>
  <c r="AA480" i="1"/>
  <c r="AB479" i="1"/>
  <c r="AA479" i="1"/>
  <c r="AB478" i="1"/>
  <c r="AA478" i="1"/>
  <c r="AB477" i="1"/>
  <c r="AA477" i="1"/>
  <c r="AB476" i="1"/>
  <c r="AA476" i="1"/>
  <c r="AB475" i="1"/>
  <c r="AA475" i="1"/>
  <c r="AB474" i="1"/>
  <c r="AA474" i="1"/>
  <c r="AB473" i="1"/>
  <c r="AA473" i="1"/>
  <c r="AB472" i="1"/>
  <c r="AA472" i="1"/>
  <c r="AB471" i="1"/>
  <c r="AA471" i="1"/>
  <c r="AB470" i="1"/>
  <c r="AA470" i="1"/>
  <c r="AB469" i="1"/>
  <c r="AA469" i="1"/>
  <c r="AB468" i="1"/>
  <c r="AA468" i="1"/>
  <c r="AB467" i="1"/>
  <c r="AA467" i="1"/>
  <c r="AB466" i="1"/>
  <c r="AA466" i="1"/>
  <c r="AB465" i="1"/>
  <c r="AA465" i="1"/>
  <c r="AB464" i="1"/>
  <c r="AA464" i="1"/>
  <c r="AB463" i="1"/>
  <c r="AA463" i="1"/>
  <c r="AB462" i="1"/>
  <c r="AA462" i="1"/>
  <c r="AB461" i="1"/>
  <c r="AA461" i="1"/>
  <c r="AB460" i="1"/>
  <c r="AA460" i="1"/>
  <c r="AB459" i="1"/>
  <c r="AA459" i="1"/>
  <c r="AB458" i="1"/>
  <c r="AA458" i="1"/>
  <c r="AB457" i="1"/>
  <c r="AA457" i="1"/>
  <c r="AB456" i="1"/>
  <c r="AA456" i="1"/>
  <c r="AB455" i="1"/>
  <c r="AA455" i="1"/>
  <c r="AB454" i="1"/>
  <c r="AA454" i="1"/>
  <c r="AB453" i="1"/>
  <c r="AA453" i="1"/>
  <c r="AB452" i="1"/>
  <c r="AA452" i="1"/>
  <c r="AB451" i="1"/>
  <c r="AA451" i="1"/>
  <c r="AB450" i="1"/>
  <c r="AA450" i="1"/>
  <c r="AB449" i="1"/>
  <c r="AA449" i="1"/>
  <c r="AB448" i="1"/>
  <c r="AA448" i="1"/>
  <c r="AB447" i="1"/>
  <c r="AA447" i="1"/>
  <c r="AB446" i="1"/>
  <c r="AA446" i="1"/>
  <c r="AB445" i="1"/>
  <c r="AA445" i="1"/>
  <c r="AB444" i="1"/>
  <c r="AA444" i="1"/>
  <c r="AB443" i="1"/>
  <c r="AA443" i="1"/>
  <c r="AB442" i="1"/>
  <c r="AA442" i="1"/>
  <c r="AB441" i="1"/>
  <c r="AA441" i="1"/>
  <c r="AB440" i="1"/>
  <c r="AA440" i="1"/>
  <c r="AB439" i="1"/>
  <c r="AA439" i="1"/>
  <c r="AB438" i="1"/>
  <c r="AA438" i="1"/>
  <c r="AB437" i="1"/>
  <c r="AA437" i="1"/>
  <c r="AB436" i="1"/>
  <c r="AA436" i="1"/>
  <c r="AB435" i="1"/>
  <c r="AA435" i="1"/>
  <c r="AB434" i="1"/>
  <c r="AA434" i="1"/>
  <c r="AB433" i="1"/>
  <c r="AA433" i="1"/>
  <c r="AB432" i="1"/>
  <c r="AA432" i="1"/>
  <c r="AB431" i="1"/>
  <c r="AA431" i="1"/>
  <c r="AB430" i="1"/>
  <c r="AA430" i="1"/>
  <c r="AB429" i="1"/>
  <c r="AA429" i="1"/>
  <c r="AB428" i="1"/>
  <c r="AA428" i="1"/>
  <c r="AB427" i="1"/>
  <c r="AA427" i="1"/>
  <c r="AB426" i="1"/>
  <c r="AA426" i="1"/>
  <c r="AB425" i="1"/>
  <c r="AA425" i="1"/>
  <c r="AB424" i="1"/>
  <c r="AA424" i="1"/>
  <c r="AB423" i="1"/>
  <c r="AA423" i="1"/>
  <c r="AB422" i="1"/>
  <c r="AA422" i="1"/>
  <c r="AB421" i="1"/>
  <c r="AA421" i="1"/>
  <c r="AB420" i="1"/>
  <c r="AA420" i="1"/>
  <c r="AB419" i="1"/>
  <c r="AA419" i="1"/>
  <c r="AB418" i="1"/>
  <c r="AA418" i="1"/>
  <c r="AB417" i="1"/>
  <c r="AA417" i="1"/>
  <c r="AB416" i="1"/>
  <c r="AA416" i="1"/>
  <c r="AB415" i="1"/>
  <c r="AA415" i="1"/>
  <c r="AB414" i="1"/>
  <c r="AA414" i="1"/>
  <c r="AB413" i="1"/>
  <c r="AA413" i="1"/>
  <c r="AB412" i="1"/>
  <c r="AA412" i="1"/>
  <c r="AB411" i="1"/>
  <c r="AA411" i="1"/>
  <c r="AB410" i="1"/>
  <c r="AA410" i="1"/>
  <c r="AB409" i="1"/>
  <c r="AA409" i="1"/>
  <c r="AB408" i="1"/>
  <c r="AA408" i="1"/>
  <c r="AB407" i="1"/>
  <c r="AA407" i="1"/>
  <c r="AB406" i="1"/>
  <c r="AA406" i="1"/>
  <c r="AB405" i="1"/>
  <c r="AA405" i="1"/>
  <c r="AB404" i="1"/>
  <c r="AA404" i="1"/>
  <c r="AB403" i="1"/>
  <c r="AA403" i="1"/>
  <c r="AB402" i="1"/>
  <c r="AA402" i="1"/>
  <c r="AB401" i="1"/>
  <c r="AA401" i="1"/>
  <c r="AB400" i="1"/>
  <c r="AA400" i="1"/>
  <c r="AB399" i="1"/>
  <c r="AA399" i="1"/>
  <c r="AB398" i="1"/>
  <c r="AA398" i="1"/>
  <c r="AB397" i="1"/>
  <c r="AA397" i="1"/>
  <c r="AB396" i="1"/>
  <c r="AA396" i="1"/>
  <c r="AB395" i="1"/>
  <c r="AA395" i="1"/>
  <c r="AB394" i="1"/>
  <c r="AA394" i="1"/>
  <c r="AB393" i="1"/>
  <c r="AA393" i="1"/>
  <c r="AB392" i="1"/>
  <c r="AA392" i="1"/>
  <c r="AB391" i="1"/>
  <c r="AA391" i="1"/>
  <c r="AB390" i="1"/>
  <c r="AA390" i="1"/>
  <c r="AB389" i="1"/>
  <c r="AA389" i="1"/>
  <c r="AB388" i="1"/>
  <c r="AA388" i="1"/>
  <c r="AB387" i="1"/>
  <c r="AA387" i="1"/>
  <c r="AB386" i="1"/>
  <c r="AA386" i="1"/>
  <c r="AB385" i="1"/>
  <c r="AA385" i="1"/>
  <c r="AB384" i="1"/>
  <c r="AA384" i="1"/>
  <c r="AB383" i="1"/>
  <c r="AA383" i="1"/>
  <c r="AB382" i="1"/>
  <c r="AA382" i="1"/>
  <c r="AB381" i="1"/>
  <c r="AA381" i="1"/>
  <c r="AB380" i="1"/>
  <c r="AA380" i="1"/>
  <c r="AB379" i="1"/>
  <c r="AA379" i="1"/>
  <c r="AB378" i="1"/>
  <c r="AA378" i="1"/>
  <c r="AB377" i="1"/>
  <c r="AA377" i="1"/>
  <c r="AB376" i="1"/>
  <c r="AA376" i="1"/>
  <c r="AB375" i="1"/>
  <c r="AA375" i="1"/>
  <c r="AB374" i="1"/>
  <c r="AA374" i="1"/>
  <c r="AB373" i="1"/>
  <c r="AA373" i="1"/>
  <c r="AB372" i="1"/>
  <c r="AA372" i="1"/>
  <c r="AB371" i="1"/>
  <c r="AA371" i="1"/>
  <c r="AB370" i="1"/>
  <c r="AA370" i="1"/>
  <c r="AB369" i="1"/>
  <c r="AA369" i="1"/>
  <c r="AB368" i="1"/>
  <c r="AA368" i="1"/>
  <c r="AB367" i="1"/>
  <c r="AA367" i="1"/>
  <c r="AB366" i="1"/>
  <c r="AA366" i="1"/>
  <c r="AB365" i="1"/>
  <c r="AA365" i="1"/>
  <c r="AB364" i="1"/>
  <c r="AA364" i="1"/>
  <c r="AB363" i="1"/>
  <c r="AA363" i="1"/>
  <c r="AB362" i="1"/>
  <c r="AA362" i="1"/>
  <c r="AB361" i="1"/>
  <c r="AA361" i="1"/>
  <c r="AB360" i="1"/>
  <c r="AA360" i="1"/>
  <c r="AB359" i="1"/>
  <c r="AA359" i="1"/>
  <c r="AB358" i="1"/>
  <c r="AA358" i="1"/>
  <c r="AB357" i="1"/>
  <c r="AA357" i="1"/>
  <c r="AB356" i="1"/>
  <c r="AA356" i="1"/>
  <c r="AB355" i="1"/>
  <c r="AA355" i="1"/>
  <c r="AB354" i="1"/>
  <c r="AA354" i="1"/>
  <c r="AB353" i="1"/>
  <c r="AA353" i="1"/>
  <c r="AB352" i="1"/>
  <c r="AA352" i="1"/>
  <c r="AB351" i="1"/>
  <c r="AA351" i="1"/>
  <c r="AB350" i="1"/>
  <c r="AA350" i="1"/>
  <c r="AB349" i="1"/>
  <c r="AA349" i="1"/>
  <c r="AB348" i="1"/>
  <c r="AA348" i="1"/>
  <c r="AB347" i="1"/>
  <c r="AA347" i="1"/>
  <c r="AB346" i="1"/>
  <c r="AA346" i="1"/>
  <c r="AB345" i="1"/>
  <c r="AA345" i="1"/>
  <c r="AB344" i="1"/>
  <c r="AA344" i="1"/>
  <c r="AB343" i="1"/>
  <c r="AA343" i="1"/>
  <c r="AB342" i="1"/>
  <c r="AA342" i="1"/>
  <c r="AB341" i="1"/>
  <c r="AA341" i="1"/>
  <c r="AB340" i="1"/>
  <c r="AA340" i="1"/>
  <c r="AB339" i="1"/>
  <c r="AA339" i="1"/>
  <c r="AB338" i="1"/>
  <c r="AA338" i="1"/>
  <c r="AB337" i="1"/>
  <c r="AA337" i="1"/>
  <c r="AB336" i="1"/>
  <c r="AA336" i="1"/>
  <c r="AB335" i="1"/>
  <c r="AA335" i="1"/>
  <c r="AB334" i="1"/>
  <c r="AA334" i="1"/>
  <c r="AB333" i="1"/>
  <c r="AA333" i="1"/>
  <c r="AB332" i="1"/>
  <c r="AA332" i="1"/>
  <c r="AB331" i="1"/>
  <c r="AA331" i="1"/>
  <c r="AB330" i="1"/>
  <c r="AA330" i="1"/>
  <c r="AB329" i="1"/>
  <c r="AA329" i="1"/>
  <c r="AB328" i="1"/>
  <c r="AA328" i="1"/>
  <c r="AB327" i="1"/>
  <c r="AA327" i="1"/>
  <c r="AB326" i="1"/>
  <c r="AA326" i="1"/>
  <c r="AB325" i="1"/>
  <c r="AA325" i="1"/>
  <c r="AB324" i="1"/>
  <c r="AA324" i="1"/>
  <c r="AB323" i="1"/>
  <c r="AA323" i="1"/>
  <c r="AB322" i="1"/>
  <c r="AA322" i="1"/>
  <c r="AB321" i="1"/>
  <c r="AA321" i="1"/>
  <c r="AB320" i="1"/>
  <c r="AA320" i="1"/>
  <c r="AB319" i="1"/>
  <c r="AA319" i="1"/>
  <c r="AB318" i="1"/>
  <c r="AA318" i="1"/>
  <c r="AB317" i="1"/>
  <c r="AA317" i="1"/>
  <c r="AB316" i="1"/>
  <c r="AA316" i="1"/>
  <c r="AB315" i="1"/>
  <c r="AA315" i="1"/>
  <c r="AB314" i="1"/>
  <c r="AA314" i="1"/>
  <c r="AB313" i="1"/>
  <c r="AA313" i="1"/>
  <c r="AB312" i="1"/>
  <c r="AA312" i="1"/>
  <c r="AB311" i="1"/>
  <c r="AA311" i="1"/>
  <c r="AB310" i="1"/>
  <c r="AA310" i="1"/>
  <c r="AB309" i="1"/>
  <c r="AA309" i="1"/>
  <c r="AB308" i="1"/>
  <c r="AA308" i="1"/>
  <c r="AB307" i="1"/>
  <c r="AA307" i="1"/>
  <c r="AB306" i="1"/>
  <c r="AA306" i="1"/>
  <c r="AB305" i="1"/>
  <c r="AA305" i="1"/>
  <c r="AB304" i="1"/>
  <c r="AA304" i="1"/>
  <c r="AB303" i="1"/>
  <c r="AA303" i="1"/>
  <c r="AB302" i="1"/>
  <c r="AA302" i="1"/>
  <c r="AB301" i="1"/>
  <c r="AA301" i="1"/>
  <c r="AB300" i="1"/>
  <c r="AA300" i="1"/>
  <c r="AB299" i="1"/>
  <c r="AA299" i="1"/>
  <c r="AB298" i="1"/>
  <c r="AA298" i="1"/>
  <c r="AB297" i="1"/>
  <c r="AA297" i="1"/>
  <c r="AB296" i="1"/>
  <c r="AA296" i="1"/>
  <c r="AB295" i="1"/>
  <c r="AA295" i="1"/>
  <c r="AB294" i="1"/>
  <c r="AA294" i="1"/>
  <c r="AB293" i="1"/>
  <c r="AA293" i="1"/>
  <c r="AB292" i="1"/>
  <c r="AA292" i="1"/>
  <c r="AB291" i="1"/>
  <c r="AA291" i="1"/>
  <c r="AB290" i="1"/>
  <c r="AA290" i="1"/>
  <c r="AB289" i="1"/>
  <c r="AA289" i="1"/>
  <c r="AB288" i="1"/>
  <c r="AA288" i="1"/>
  <c r="AB287" i="1"/>
  <c r="AA287" i="1"/>
  <c r="AB286" i="1"/>
  <c r="AA286" i="1"/>
  <c r="AB285" i="1"/>
  <c r="AA285" i="1"/>
  <c r="AB284" i="1"/>
  <c r="AA284" i="1"/>
  <c r="AB283" i="1"/>
  <c r="AA283" i="1"/>
  <c r="AB282" i="1"/>
  <c r="AA282" i="1"/>
  <c r="AB281" i="1"/>
  <c r="AA281" i="1"/>
  <c r="AB280" i="1"/>
  <c r="AA280" i="1"/>
  <c r="AB279" i="1"/>
  <c r="AA279" i="1"/>
  <c r="AB278" i="1"/>
  <c r="AA278" i="1"/>
  <c r="AB277" i="1"/>
  <c r="AA277" i="1"/>
  <c r="AB276" i="1"/>
  <c r="AA276" i="1"/>
  <c r="AB275" i="1"/>
  <c r="AA275" i="1"/>
  <c r="AB274" i="1"/>
  <c r="AA274" i="1"/>
  <c r="AB273" i="1"/>
  <c r="AA273" i="1"/>
  <c r="AB272" i="1"/>
  <c r="AA272" i="1"/>
  <c r="AB271" i="1"/>
  <c r="AA271" i="1"/>
  <c r="AB270" i="1"/>
  <c r="AA270" i="1"/>
  <c r="AB269" i="1"/>
  <c r="AA269" i="1"/>
  <c r="AB268" i="1"/>
  <c r="AA268" i="1"/>
  <c r="AB267" i="1"/>
  <c r="AA267" i="1"/>
  <c r="AB266" i="1"/>
  <c r="AA266" i="1"/>
  <c r="AB265" i="1"/>
  <c r="AA265" i="1"/>
  <c r="AB264" i="1"/>
  <c r="AA264" i="1"/>
  <c r="AB263" i="1"/>
  <c r="AA263" i="1"/>
  <c r="AB262" i="1"/>
  <c r="AA262" i="1"/>
  <c r="AB261" i="1"/>
  <c r="AA261" i="1"/>
  <c r="AB260" i="1"/>
  <c r="AA260" i="1"/>
  <c r="AB259" i="1"/>
  <c r="AA259" i="1"/>
  <c r="AB258" i="1"/>
  <c r="AA258" i="1"/>
  <c r="AB257" i="1"/>
  <c r="AA257" i="1"/>
  <c r="AB256" i="1"/>
  <c r="AA256" i="1"/>
  <c r="AB255" i="1"/>
  <c r="AA255" i="1"/>
  <c r="AB254" i="1"/>
  <c r="AA254" i="1"/>
  <c r="AB253" i="1"/>
  <c r="AA253" i="1"/>
  <c r="AB252" i="1"/>
  <c r="AA252" i="1"/>
  <c r="AB251" i="1"/>
  <c r="AA251" i="1"/>
  <c r="AB250" i="1"/>
  <c r="AA250" i="1"/>
  <c r="AB249" i="1"/>
  <c r="AA249" i="1"/>
  <c r="AB248" i="1"/>
  <c r="AA248" i="1"/>
  <c r="AB247" i="1"/>
  <c r="AA247" i="1"/>
  <c r="AB246" i="1"/>
  <c r="AA246" i="1"/>
  <c r="AB245" i="1"/>
  <c r="AA245" i="1"/>
  <c r="AB244" i="1"/>
  <c r="AA244" i="1"/>
  <c r="AB243" i="1"/>
  <c r="AA243" i="1"/>
  <c r="AB242" i="1"/>
  <c r="AA242" i="1"/>
  <c r="AB241" i="1"/>
  <c r="AA241" i="1"/>
  <c r="AB240" i="1"/>
  <c r="AA240" i="1"/>
  <c r="AB239" i="1"/>
  <c r="AA239" i="1"/>
  <c r="AB238" i="1"/>
  <c r="AA238" i="1"/>
  <c r="AB237" i="1"/>
  <c r="AA237" i="1"/>
  <c r="AB236" i="1"/>
  <c r="AA236" i="1"/>
  <c r="AB235" i="1"/>
  <c r="AA235" i="1"/>
  <c r="AB234" i="1"/>
  <c r="AA234" i="1"/>
  <c r="AB233" i="1"/>
  <c r="AA233" i="1"/>
  <c r="AB232" i="1"/>
  <c r="AA232" i="1"/>
  <c r="AB231" i="1"/>
  <c r="AA231" i="1"/>
  <c r="AB230" i="1"/>
  <c r="AA230" i="1"/>
  <c r="AB229" i="1"/>
  <c r="AA229" i="1"/>
  <c r="AB228" i="1"/>
  <c r="AA228" i="1"/>
  <c r="AB227" i="1"/>
  <c r="AA227" i="1"/>
  <c r="AB226" i="1"/>
  <c r="AA226" i="1"/>
  <c r="AB225" i="1"/>
  <c r="AA225" i="1"/>
  <c r="AB224" i="1"/>
  <c r="AA224" i="1"/>
  <c r="AB223" i="1"/>
  <c r="AA223" i="1"/>
  <c r="AB222" i="1"/>
  <c r="AA222" i="1"/>
  <c r="AB221" i="1"/>
  <c r="AA221" i="1"/>
  <c r="AB220" i="1"/>
  <c r="AA220" i="1"/>
  <c r="AB219" i="1"/>
  <c r="AA219" i="1"/>
  <c r="AB218" i="1"/>
  <c r="AA218" i="1"/>
  <c r="AB217" i="1"/>
  <c r="AA217" i="1"/>
  <c r="AB216" i="1"/>
  <c r="AA216" i="1"/>
  <c r="AB215" i="1"/>
  <c r="AA215" i="1"/>
  <c r="AB214" i="1"/>
  <c r="AA214" i="1"/>
  <c r="AB213" i="1"/>
  <c r="AA213" i="1"/>
  <c r="AB212" i="1"/>
  <c r="AA212" i="1"/>
  <c r="AB211" i="1"/>
  <c r="AA211" i="1"/>
  <c r="AB210" i="1"/>
  <c r="AA210" i="1"/>
  <c r="AB209" i="1"/>
  <c r="AA209" i="1"/>
  <c r="AB208" i="1"/>
  <c r="AA208" i="1"/>
  <c r="AB207" i="1"/>
  <c r="AA207" i="1"/>
  <c r="AB206" i="1"/>
  <c r="AA206" i="1"/>
  <c r="AB205" i="1"/>
  <c r="AA205" i="1"/>
  <c r="AB204" i="1"/>
  <c r="AA204" i="1"/>
  <c r="AB203" i="1"/>
  <c r="AA203" i="1"/>
  <c r="AB202" i="1"/>
  <c r="AA202" i="1"/>
  <c r="AB201" i="1"/>
  <c r="AA201" i="1"/>
  <c r="AB200" i="1"/>
  <c r="AA200" i="1"/>
  <c r="AB199" i="1"/>
  <c r="AA199" i="1"/>
  <c r="AB198" i="1"/>
  <c r="AA198" i="1"/>
  <c r="AB197" i="1"/>
  <c r="AA197" i="1"/>
  <c r="AB196" i="1"/>
  <c r="AA196" i="1"/>
  <c r="AB195" i="1"/>
  <c r="AA195" i="1"/>
  <c r="AB194" i="1"/>
  <c r="AA194" i="1"/>
  <c r="AB193" i="1"/>
  <c r="AA193" i="1"/>
  <c r="AB192" i="1"/>
  <c r="AA192" i="1"/>
  <c r="AB191" i="1"/>
  <c r="AA191" i="1"/>
  <c r="AB190" i="1"/>
  <c r="AA190" i="1"/>
  <c r="AB189" i="1"/>
  <c r="AA189" i="1"/>
  <c r="AB188" i="1"/>
  <c r="AA188" i="1"/>
  <c r="AB187" i="1"/>
  <c r="AA187" i="1"/>
  <c r="AB186" i="1"/>
  <c r="AA186" i="1"/>
  <c r="AB185" i="1"/>
  <c r="AA185" i="1"/>
  <c r="AB184" i="1"/>
  <c r="AA184" i="1"/>
  <c r="AB183" i="1"/>
  <c r="AA183" i="1"/>
  <c r="AB182" i="1"/>
  <c r="AA182" i="1"/>
  <c r="AB181" i="1"/>
  <c r="AA181" i="1"/>
  <c r="AB180" i="1"/>
  <c r="AA180" i="1"/>
  <c r="AB179" i="1"/>
  <c r="AA179" i="1"/>
  <c r="AB178" i="1"/>
  <c r="AA178" i="1"/>
  <c r="AB177" i="1"/>
  <c r="AA177" i="1"/>
  <c r="AB176" i="1"/>
  <c r="AA176" i="1"/>
  <c r="AB175" i="1"/>
  <c r="AA175" i="1"/>
  <c r="AB174" i="1"/>
  <c r="AA174" i="1"/>
  <c r="AB173" i="1"/>
  <c r="AA173" i="1"/>
  <c r="AB172" i="1"/>
  <c r="AA172" i="1"/>
  <c r="AB171" i="1"/>
  <c r="AA171" i="1"/>
  <c r="AB170" i="1"/>
  <c r="AA170" i="1"/>
  <c r="AB169" i="1"/>
  <c r="AA169" i="1"/>
  <c r="AB168" i="1"/>
  <c r="AA168" i="1"/>
  <c r="AB167" i="1"/>
  <c r="AA167" i="1"/>
  <c r="AB166" i="1"/>
  <c r="AA166" i="1"/>
  <c r="AB165" i="1"/>
  <c r="AA165" i="1"/>
  <c r="AB164" i="1"/>
  <c r="AA164" i="1"/>
  <c r="AB163" i="1"/>
  <c r="AA163" i="1"/>
  <c r="AB162" i="1"/>
  <c r="AA162" i="1"/>
  <c r="AB161" i="1"/>
  <c r="AA161" i="1"/>
  <c r="AB160" i="1"/>
  <c r="AA160" i="1"/>
  <c r="AB159" i="1"/>
  <c r="AA159" i="1"/>
  <c r="AB158" i="1"/>
  <c r="AA158" i="1"/>
  <c r="AB157" i="1"/>
  <c r="AA157" i="1"/>
  <c r="AB156" i="1"/>
  <c r="AA156" i="1"/>
  <c r="AB155" i="1"/>
  <c r="AA155" i="1"/>
  <c r="AB154" i="1"/>
  <c r="AA154" i="1"/>
  <c r="AB153" i="1"/>
  <c r="AA153" i="1"/>
  <c r="AB152" i="1"/>
  <c r="AA152" i="1"/>
  <c r="AB151" i="1"/>
  <c r="AA151" i="1"/>
  <c r="AB150" i="1"/>
  <c r="AA150" i="1"/>
  <c r="AB149" i="1"/>
  <c r="AA149" i="1"/>
  <c r="AB148" i="1"/>
  <c r="AA148" i="1"/>
  <c r="AB147" i="1"/>
  <c r="AA147" i="1"/>
  <c r="AB146" i="1"/>
  <c r="AA146" i="1"/>
  <c r="AB145" i="1"/>
  <c r="AA145" i="1"/>
  <c r="AB144" i="1"/>
  <c r="AA144" i="1"/>
  <c r="AB143" i="1"/>
  <c r="AA143" i="1"/>
  <c r="AB142" i="1"/>
  <c r="AA142" i="1"/>
  <c r="AB141" i="1"/>
  <c r="AA141" i="1"/>
  <c r="AB140" i="1"/>
  <c r="AA140" i="1"/>
  <c r="AB139" i="1"/>
  <c r="AA139" i="1"/>
  <c r="AB138" i="1"/>
  <c r="AA138" i="1"/>
  <c r="AB137" i="1"/>
  <c r="AA137" i="1"/>
  <c r="AB136" i="1"/>
  <c r="AA136" i="1"/>
  <c r="AB135" i="1"/>
  <c r="AA135" i="1"/>
  <c r="AB134" i="1"/>
  <c r="AA134" i="1"/>
  <c r="AB133" i="1"/>
  <c r="AA133" i="1"/>
  <c r="AB132" i="1"/>
  <c r="AA132" i="1"/>
  <c r="AB131" i="1"/>
  <c r="AA131" i="1"/>
  <c r="AB130" i="1"/>
  <c r="AA130" i="1"/>
  <c r="AB129" i="1"/>
  <c r="AA129" i="1"/>
  <c r="AB128" i="1"/>
  <c r="AA128" i="1"/>
  <c r="AB127" i="1"/>
  <c r="AA127" i="1"/>
  <c r="AB126" i="1"/>
  <c r="AA126" i="1"/>
  <c r="AB125" i="1"/>
  <c r="AA125" i="1"/>
  <c r="AB124" i="1"/>
  <c r="AA124" i="1"/>
  <c r="AB123" i="1"/>
  <c r="AA123" i="1"/>
  <c r="AB122" i="1"/>
  <c r="AA122" i="1"/>
  <c r="AB121" i="1"/>
  <c r="AA121" i="1"/>
  <c r="AB120" i="1"/>
  <c r="AA120" i="1"/>
  <c r="AB119" i="1"/>
  <c r="AA119" i="1"/>
  <c r="AB118" i="1"/>
  <c r="AA118" i="1"/>
  <c r="AB117" i="1"/>
  <c r="AA117" i="1"/>
  <c r="AB116" i="1"/>
  <c r="AA116" i="1"/>
  <c r="AB115" i="1"/>
  <c r="AA115" i="1"/>
  <c r="AB114" i="1"/>
  <c r="AA114" i="1"/>
  <c r="AB113" i="1"/>
  <c r="AA113" i="1"/>
  <c r="AB112" i="1"/>
  <c r="AA112" i="1"/>
  <c r="AB111" i="1"/>
  <c r="AA111" i="1"/>
  <c r="AB110" i="1"/>
  <c r="AA110" i="1"/>
  <c r="AB109" i="1"/>
  <c r="AA109" i="1"/>
  <c r="AB108" i="1"/>
  <c r="AA108" i="1"/>
  <c r="AB107" i="1"/>
  <c r="AA107" i="1"/>
  <c r="AB106" i="1"/>
  <c r="AA106" i="1"/>
  <c r="AB105" i="1"/>
  <c r="AA105" i="1"/>
  <c r="AB104" i="1"/>
  <c r="AA104" i="1"/>
  <c r="AB103" i="1"/>
  <c r="AA103" i="1"/>
  <c r="AB102" i="1"/>
  <c r="AA102" i="1"/>
  <c r="AB101" i="1"/>
  <c r="AA101" i="1"/>
  <c r="AB100" i="1"/>
  <c r="AA100" i="1"/>
  <c r="AB99" i="1"/>
  <c r="AA99" i="1"/>
  <c r="AB98" i="1"/>
  <c r="AA98" i="1"/>
  <c r="AB97" i="1"/>
  <c r="AA97" i="1"/>
  <c r="AB96" i="1"/>
  <c r="AA96" i="1"/>
  <c r="AB95" i="1"/>
  <c r="AA95" i="1"/>
  <c r="AB94" i="1"/>
  <c r="AA94" i="1"/>
  <c r="AB93" i="1"/>
  <c r="AA93" i="1"/>
  <c r="AB92" i="1"/>
  <c r="AA92" i="1"/>
  <c r="AB91" i="1"/>
  <c r="AA91" i="1"/>
  <c r="AB90" i="1"/>
  <c r="AA90" i="1"/>
  <c r="AB89" i="1"/>
  <c r="AA89" i="1"/>
  <c r="AB88" i="1"/>
  <c r="AA88" i="1"/>
  <c r="AB87" i="1"/>
  <c r="AA87" i="1"/>
  <c r="AB86" i="1"/>
  <c r="AA86" i="1"/>
  <c r="AB85" i="1"/>
  <c r="AA85" i="1"/>
  <c r="AB84" i="1"/>
  <c r="AA84" i="1"/>
  <c r="AB83" i="1"/>
  <c r="AA83" i="1"/>
  <c r="AB82" i="1"/>
  <c r="AA82" i="1"/>
  <c r="AB81" i="1"/>
  <c r="AA81" i="1"/>
  <c r="AB80" i="1"/>
  <c r="AA80" i="1"/>
  <c r="AB79" i="1"/>
  <c r="AA79" i="1"/>
  <c r="AB78" i="1"/>
  <c r="AA78" i="1"/>
  <c r="AB77" i="1"/>
  <c r="AA77" i="1"/>
  <c r="AB76" i="1"/>
  <c r="AA76" i="1"/>
  <c r="AB75" i="1"/>
  <c r="AA75" i="1"/>
  <c r="AB74" i="1"/>
  <c r="AA74" i="1"/>
  <c r="AB73" i="1"/>
  <c r="AA73" i="1"/>
  <c r="AB72" i="1"/>
  <c r="AA72" i="1"/>
  <c r="AB71" i="1"/>
  <c r="AA71" i="1"/>
  <c r="AB70" i="1"/>
  <c r="AA70" i="1"/>
  <c r="AB69" i="1"/>
  <c r="AA69" i="1"/>
  <c r="AB68" i="1"/>
  <c r="AA68" i="1"/>
  <c r="AB67" i="1"/>
  <c r="AA67" i="1"/>
  <c r="AB66" i="1"/>
  <c r="AA66" i="1"/>
  <c r="AB65" i="1"/>
  <c r="AA65" i="1"/>
  <c r="AB64" i="1"/>
  <c r="AA64" i="1"/>
  <c r="AB63" i="1"/>
  <c r="AA63" i="1"/>
  <c r="AB62" i="1"/>
  <c r="AA62" i="1"/>
  <c r="AB61" i="1"/>
  <c r="AA61" i="1"/>
  <c r="AB60" i="1"/>
  <c r="AA60" i="1"/>
  <c r="AB59" i="1"/>
  <c r="AA59" i="1"/>
  <c r="AB58" i="1"/>
  <c r="AA58" i="1"/>
  <c r="AB57" i="1"/>
  <c r="AA57" i="1"/>
  <c r="AB56" i="1"/>
  <c r="AA56" i="1"/>
  <c r="AB55" i="1"/>
  <c r="AA55" i="1"/>
  <c r="AB54" i="1"/>
  <c r="AA54" i="1"/>
  <c r="AB53" i="1"/>
  <c r="AA53" i="1"/>
  <c r="AB52" i="1"/>
  <c r="AA52" i="1"/>
  <c r="AB51" i="1"/>
  <c r="AA51" i="1"/>
  <c r="AB50" i="1"/>
  <c r="AA50" i="1"/>
  <c r="AB49" i="1"/>
  <c r="AA49" i="1"/>
  <c r="AB48" i="1"/>
  <c r="AA48" i="1"/>
  <c r="AB47" i="1"/>
  <c r="AA47" i="1"/>
  <c r="AB46" i="1"/>
  <c r="AA46" i="1"/>
  <c r="AB45" i="1"/>
  <c r="AA45" i="1"/>
  <c r="AB44" i="1"/>
  <c r="AA44" i="1"/>
  <c r="AB43" i="1"/>
  <c r="AA43" i="1"/>
  <c r="AB42" i="1"/>
  <c r="AA42" i="1"/>
  <c r="AB41" i="1"/>
  <c r="AA41" i="1"/>
  <c r="AB40" i="1"/>
  <c r="AA40" i="1"/>
  <c r="AB39" i="1"/>
  <c r="AA39" i="1"/>
  <c r="AB38" i="1"/>
  <c r="AA38" i="1"/>
  <c r="AB37" i="1"/>
  <c r="AA37" i="1"/>
  <c r="AB36" i="1"/>
  <c r="AA36" i="1"/>
  <c r="AB35" i="1"/>
  <c r="AA35" i="1"/>
  <c r="AB34" i="1"/>
  <c r="AA34" i="1"/>
  <c r="AB33" i="1"/>
  <c r="AA33" i="1"/>
  <c r="AB32" i="1"/>
  <c r="AA32" i="1"/>
  <c r="AB31" i="1"/>
  <c r="AA31" i="1"/>
  <c r="AB30" i="1"/>
  <c r="AA30" i="1"/>
  <c r="AB29" i="1"/>
  <c r="AA29" i="1"/>
  <c r="AB28" i="1"/>
  <c r="AA28" i="1"/>
  <c r="AB27" i="1"/>
  <c r="AA27" i="1"/>
  <c r="AB26" i="1"/>
  <c r="AA26" i="1"/>
  <c r="AB25" i="1"/>
  <c r="AA25" i="1"/>
  <c r="AB24" i="1"/>
  <c r="AA24" i="1"/>
  <c r="AB23" i="1"/>
  <c r="AA23" i="1"/>
  <c r="AB22" i="1"/>
  <c r="AA22" i="1"/>
  <c r="AB21" i="1"/>
  <c r="AA21" i="1"/>
  <c r="AB20" i="1"/>
  <c r="AA20" i="1"/>
  <c r="AB19" i="1"/>
  <c r="AA19" i="1"/>
  <c r="AB18" i="1"/>
  <c r="AA18" i="1"/>
  <c r="AB17" i="1"/>
  <c r="AA17" i="1"/>
  <c r="AB16" i="1"/>
  <c r="AA16" i="1"/>
  <c r="AB15" i="1"/>
  <c r="AA15" i="1"/>
  <c r="AB14" i="1"/>
  <c r="AA14" i="1"/>
  <c r="AB13" i="1"/>
  <c r="AA13" i="1"/>
  <c r="AB12" i="1"/>
  <c r="AA12" i="1"/>
  <c r="AB11" i="1"/>
  <c r="AA11" i="1"/>
  <c r="AB10" i="1"/>
  <c r="AA10" i="1"/>
  <c r="AB9" i="1"/>
  <c r="AA9" i="1"/>
  <c r="AB8" i="1"/>
  <c r="AA8" i="1"/>
  <c r="AB7" i="1"/>
  <c r="AA7" i="1"/>
  <c r="AB6" i="1"/>
  <c r="AA6" i="1"/>
  <c r="AB5" i="1"/>
  <c r="AA5" i="1"/>
  <c r="AB4" i="1"/>
  <c r="AA4" i="1"/>
  <c r="AB3" i="1"/>
  <c r="AA3" i="1"/>
  <c r="AB2" i="1"/>
  <c r="AA2" i="1"/>
</calcChain>
</file>

<file path=xl/sharedStrings.xml><?xml version="1.0" encoding="utf-8"?>
<sst xmlns="http://schemas.openxmlformats.org/spreadsheetml/2006/main" count="2668" uniqueCount="52">
  <si>
    <t>circle</t>
  </si>
  <si>
    <t>report_month</t>
  </si>
  <si>
    <t>prev_month</t>
  </si>
  <si>
    <t>release_date</t>
  </si>
  <si>
    <t>total_prev</t>
  </si>
  <si>
    <t>total_curr</t>
  </si>
  <si>
    <t>total_net_addition</t>
  </si>
  <si>
    <t>vi_vlr_pct</t>
  </si>
  <si>
    <t>mnp_ports_month</t>
  </si>
  <si>
    <t>mnp_kind</t>
  </si>
  <si>
    <t>mnp_prev_value</t>
  </si>
  <si>
    <t>mnp_curr_value</t>
  </si>
  <si>
    <t>airtel_prev</t>
  </si>
  <si>
    <t>airtel_curr</t>
  </si>
  <si>
    <t>rcom_prev</t>
  </si>
  <si>
    <t>rcom_curr</t>
  </si>
  <si>
    <t>vi_prev</t>
  </si>
  <si>
    <t>vi_curr</t>
  </si>
  <si>
    <t>bsnl_prev</t>
  </si>
  <si>
    <t>bsnl_curr</t>
  </si>
  <si>
    <t>vno_prev</t>
  </si>
  <si>
    <t>vno_curr</t>
  </si>
  <si>
    <t>mtnl_prev</t>
  </si>
  <si>
    <t>mtnl_curr</t>
  </si>
  <si>
    <t>jio_prev</t>
  </si>
  <si>
    <t>jio_curr</t>
  </si>
  <si>
    <t>Subscriber change(VI)</t>
  </si>
  <si>
    <t>Subscriber growth rate(VI)</t>
  </si>
  <si>
    <t>Andhra Pradesh</t>
  </si>
  <si>
    <t>cumulative</t>
  </si>
  <si>
    <t>Assam</t>
  </si>
  <si>
    <t>Bihar</t>
  </si>
  <si>
    <t>Delhi</t>
  </si>
  <si>
    <t>Gujarat</t>
  </si>
  <si>
    <t>Haryana</t>
  </si>
  <si>
    <t>Himachal Pradesh</t>
  </si>
  <si>
    <t>J&amp;K</t>
  </si>
  <si>
    <t>Karnataka</t>
  </si>
  <si>
    <t>Kerala</t>
  </si>
  <si>
    <t>Kolkata</t>
  </si>
  <si>
    <t>Madhya Pradesh</t>
  </si>
  <si>
    <t>Maharashtra</t>
  </si>
  <si>
    <t>Mumbai</t>
  </si>
  <si>
    <t>North East</t>
  </si>
  <si>
    <t>Odisha</t>
  </si>
  <si>
    <t>Punjab</t>
  </si>
  <si>
    <t>Rajasthan</t>
  </si>
  <si>
    <t>Tamil Nadu</t>
  </si>
  <si>
    <t>UP East</t>
  </si>
  <si>
    <t>UP West</t>
  </si>
  <si>
    <t>West Bengal</t>
  </si>
  <si>
    <t>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</si>
</sst>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2F432-5416-46DB-A11B-81CEC8E56F7C}">
  <dimension ref="A1:AB1321"/>
  <sheetViews>
    <sheetView tabSelected="1" workbookViewId="0">
      <selection activeCell="D6" sqref="D6"/>
    </sheetView>
  </sheetViews>
  <sheetFormatPr defaultRowHeight="13.8"/>
  <cols>
    <col min="1" max="1" width="15.59765625" bestFit="1" customWidth="1"/>
    <col min="2" max="2" width="11.5" bestFit="1" customWidth="1"/>
    <col min="3" max="3" width="10.296875" bestFit="1" customWidth="1"/>
    <col min="4" max="4" width="11.296875" bestFit="1" customWidth="1"/>
    <col min="5" max="6" width="9.8984375" bestFit="1" customWidth="1"/>
    <col min="7" max="7" width="15.19921875" bestFit="1" customWidth="1"/>
    <col min="8" max="8" width="8.5" bestFit="1" customWidth="1"/>
    <col min="9" max="9" width="15.296875" bestFit="1" customWidth="1"/>
    <col min="10" max="10" width="9.3984375" bestFit="1" customWidth="1"/>
    <col min="11" max="11" width="14.19921875" bestFit="1" customWidth="1"/>
    <col min="12" max="12" width="13.796875" bestFit="1" customWidth="1"/>
    <col min="13" max="13" width="9.296875" bestFit="1" customWidth="1"/>
    <col min="14" max="14" width="8.8984375" bestFit="1" customWidth="1"/>
    <col min="15" max="15" width="9.296875" bestFit="1" customWidth="1"/>
    <col min="16" max="20" width="8.8984375" bestFit="1" customWidth="1"/>
    <col min="21" max="21" width="8.296875" bestFit="1" customWidth="1"/>
    <col min="22" max="22" width="7.8984375" bestFit="1" customWidth="1"/>
    <col min="23" max="23" width="8.69921875" bestFit="1" customWidth="1"/>
    <col min="24" max="24" width="8.296875" bestFit="1" customWidth="1"/>
    <col min="25" max="26" width="8.8984375" bestFit="1" customWidth="1"/>
    <col min="27" max="27" width="18.796875" bestFit="1" customWidth="1"/>
    <col min="28" max="28" width="22" bestFit="1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1" t="s">
        <v>26</v>
      </c>
      <c r="AB1" s="1" t="s">
        <v>27</v>
      </c>
    </row>
    <row r="2" spans="1:28">
      <c r="A2" t="s">
        <v>28</v>
      </c>
      <c r="B2" s="2">
        <v>44440</v>
      </c>
      <c r="C2" s="2">
        <v>44409</v>
      </c>
      <c r="D2" s="2">
        <v>44522</v>
      </c>
      <c r="E2">
        <v>87635003</v>
      </c>
      <c r="F2">
        <v>86396038</v>
      </c>
      <c r="G2">
        <v>-1238965</v>
      </c>
      <c r="H2">
        <v>88.53</v>
      </c>
      <c r="I2">
        <v>460000</v>
      </c>
      <c r="J2" t="s">
        <v>29</v>
      </c>
      <c r="K2">
        <v>48.23</v>
      </c>
      <c r="L2">
        <v>48.69</v>
      </c>
      <c r="M2">
        <v>31186566</v>
      </c>
      <c r="N2">
        <v>31193079</v>
      </c>
      <c r="O2">
        <v>0</v>
      </c>
      <c r="P2">
        <v>0</v>
      </c>
      <c r="Q2">
        <v>14897868</v>
      </c>
      <c r="R2">
        <v>14768586</v>
      </c>
      <c r="S2">
        <v>9040658</v>
      </c>
      <c r="T2">
        <v>9043969</v>
      </c>
      <c r="U2">
        <v>0</v>
      </c>
      <c r="V2">
        <v>0</v>
      </c>
      <c r="W2">
        <v>0</v>
      </c>
      <c r="X2">
        <v>0</v>
      </c>
      <c r="Y2">
        <v>32509911</v>
      </c>
      <c r="Z2">
        <v>31390404</v>
      </c>
      <c r="AA2">
        <f>$R2-$Q2</f>
        <v>-129282</v>
      </c>
      <c r="AB2">
        <f>(($R2-$Q2)/$Q2)*100</f>
        <v>-0.86778859901295946</v>
      </c>
    </row>
    <row r="3" spans="1:28">
      <c r="A3" t="s">
        <v>30</v>
      </c>
      <c r="B3" s="2">
        <v>44440</v>
      </c>
      <c r="C3" s="2">
        <v>44409</v>
      </c>
      <c r="D3" s="2">
        <v>44522</v>
      </c>
      <c r="E3">
        <v>25238921</v>
      </c>
      <c r="F3">
        <v>24353494</v>
      </c>
      <c r="G3">
        <v>-885427</v>
      </c>
      <c r="H3">
        <v>87.09</v>
      </c>
      <c r="I3">
        <v>60000</v>
      </c>
      <c r="J3" t="s">
        <v>29</v>
      </c>
      <c r="K3">
        <v>4.37</v>
      </c>
      <c r="L3">
        <v>4.43</v>
      </c>
      <c r="M3">
        <v>9563472</v>
      </c>
      <c r="N3">
        <v>9666469</v>
      </c>
      <c r="O3">
        <v>0</v>
      </c>
      <c r="P3">
        <v>0</v>
      </c>
      <c r="Q3">
        <v>2942512</v>
      </c>
      <c r="R3">
        <v>2896364</v>
      </c>
      <c r="S3">
        <v>3085783</v>
      </c>
      <c r="T3">
        <v>3097802</v>
      </c>
      <c r="U3">
        <v>0</v>
      </c>
      <c r="V3">
        <v>0</v>
      </c>
      <c r="W3">
        <v>0</v>
      </c>
      <c r="X3">
        <v>0</v>
      </c>
      <c r="Y3">
        <v>9647154</v>
      </c>
      <c r="Z3">
        <v>8692859</v>
      </c>
      <c r="AA3">
        <f>$R3-$Q3</f>
        <v>-46148</v>
      </c>
      <c r="AB3">
        <f t="shared" ref="AB3:AB66" si="0">(($R3-$Q3)/$Q3)*100</f>
        <v>-1.5683198573191885</v>
      </c>
    </row>
    <row r="4" spans="1:28">
      <c r="A4" t="s">
        <v>31</v>
      </c>
      <c r="B4" s="2">
        <v>44440</v>
      </c>
      <c r="C4" s="2">
        <v>44409</v>
      </c>
      <c r="D4" s="2">
        <v>44522</v>
      </c>
      <c r="E4">
        <v>87206868</v>
      </c>
      <c r="F4">
        <v>86938036</v>
      </c>
      <c r="G4">
        <v>-268832</v>
      </c>
      <c r="H4">
        <v>82.45</v>
      </c>
      <c r="I4">
        <v>730000</v>
      </c>
      <c r="J4" t="s">
        <v>29</v>
      </c>
      <c r="K4">
        <v>30.29</v>
      </c>
      <c r="L4">
        <v>31.02</v>
      </c>
      <c r="M4">
        <v>36455259</v>
      </c>
      <c r="N4">
        <v>36289924</v>
      </c>
      <c r="O4">
        <v>0</v>
      </c>
      <c r="P4">
        <v>0</v>
      </c>
      <c r="Q4">
        <v>11076397</v>
      </c>
      <c r="R4">
        <v>10973747</v>
      </c>
      <c r="S4">
        <v>5592809</v>
      </c>
      <c r="T4">
        <v>5543665</v>
      </c>
      <c r="U4">
        <v>0</v>
      </c>
      <c r="V4">
        <v>0</v>
      </c>
      <c r="W4">
        <v>0</v>
      </c>
      <c r="X4">
        <v>0</v>
      </c>
      <c r="Y4">
        <v>34082403</v>
      </c>
      <c r="Z4">
        <v>34130700</v>
      </c>
      <c r="AA4">
        <f t="shared" ref="AA4:AA67" si="1">$R4-$Q4</f>
        <v>-102650</v>
      </c>
      <c r="AB4">
        <f t="shared" si="0"/>
        <v>-0.92674540285979279</v>
      </c>
    </row>
    <row r="5" spans="1:28">
      <c r="A5" t="s">
        <v>32</v>
      </c>
      <c r="B5" s="2">
        <v>44440</v>
      </c>
      <c r="C5" s="2">
        <v>44409</v>
      </c>
      <c r="D5" s="2">
        <v>44522</v>
      </c>
      <c r="E5">
        <v>54128991</v>
      </c>
      <c r="F5">
        <v>52403354</v>
      </c>
      <c r="G5">
        <v>-1725637</v>
      </c>
      <c r="H5">
        <v>73.319999999999993</v>
      </c>
      <c r="I5">
        <v>450000</v>
      </c>
      <c r="J5" t="s">
        <v>29</v>
      </c>
      <c r="K5">
        <v>30.64</v>
      </c>
      <c r="L5">
        <v>31.09</v>
      </c>
      <c r="M5">
        <v>15797812</v>
      </c>
      <c r="N5">
        <v>15829346</v>
      </c>
      <c r="O5">
        <v>348</v>
      </c>
      <c r="P5">
        <v>327</v>
      </c>
      <c r="Q5">
        <v>15803961</v>
      </c>
      <c r="R5">
        <v>15812011</v>
      </c>
      <c r="S5">
        <v>0</v>
      </c>
      <c r="T5">
        <v>0</v>
      </c>
      <c r="U5">
        <v>0</v>
      </c>
      <c r="V5">
        <v>0</v>
      </c>
      <c r="W5">
        <v>2156829</v>
      </c>
      <c r="X5">
        <v>2155755</v>
      </c>
      <c r="Y5">
        <v>20370041</v>
      </c>
      <c r="Z5">
        <v>18605915</v>
      </c>
      <c r="AA5">
        <f t="shared" si="1"/>
        <v>8050</v>
      </c>
      <c r="AB5">
        <f t="shared" si="0"/>
        <v>5.0936597477050219E-2</v>
      </c>
    </row>
    <row r="6" spans="1:28">
      <c r="A6" t="s">
        <v>33</v>
      </c>
      <c r="B6" s="2">
        <v>44440</v>
      </c>
      <c r="C6" s="2">
        <v>44409</v>
      </c>
      <c r="D6" s="2">
        <v>44522</v>
      </c>
      <c r="E6">
        <v>70052994</v>
      </c>
      <c r="F6">
        <v>68687658</v>
      </c>
      <c r="G6">
        <v>-1365336</v>
      </c>
      <c r="H6">
        <v>90.94</v>
      </c>
      <c r="I6">
        <v>720000</v>
      </c>
      <c r="J6" t="s">
        <v>29</v>
      </c>
      <c r="K6">
        <v>42.43</v>
      </c>
      <c r="L6">
        <v>43.15</v>
      </c>
      <c r="M6">
        <v>11967790</v>
      </c>
      <c r="N6">
        <v>11842855</v>
      </c>
      <c r="O6">
        <v>167</v>
      </c>
      <c r="P6">
        <v>167</v>
      </c>
      <c r="Q6">
        <v>24454206</v>
      </c>
      <c r="R6">
        <v>24305580</v>
      </c>
      <c r="S6">
        <v>5669105</v>
      </c>
      <c r="T6">
        <v>5676308</v>
      </c>
      <c r="U6">
        <v>0</v>
      </c>
      <c r="V6">
        <v>0</v>
      </c>
      <c r="W6">
        <v>0</v>
      </c>
      <c r="X6">
        <v>0</v>
      </c>
      <c r="Y6">
        <v>27961726</v>
      </c>
      <c r="Z6">
        <v>26862748</v>
      </c>
      <c r="AA6">
        <f t="shared" si="1"/>
        <v>-148626</v>
      </c>
      <c r="AB6">
        <f t="shared" si="0"/>
        <v>-0.60777274878603704</v>
      </c>
    </row>
    <row r="7" spans="1:28">
      <c r="A7" t="s">
        <v>34</v>
      </c>
      <c r="B7" s="2">
        <v>44440</v>
      </c>
      <c r="C7" s="2">
        <v>44409</v>
      </c>
      <c r="D7" s="2">
        <v>44522</v>
      </c>
      <c r="E7">
        <v>28284518</v>
      </c>
      <c r="F7">
        <v>28007873</v>
      </c>
      <c r="G7">
        <v>-276645</v>
      </c>
      <c r="H7">
        <v>90.66</v>
      </c>
      <c r="I7">
        <v>250000</v>
      </c>
      <c r="J7" t="s">
        <v>29</v>
      </c>
      <c r="K7">
        <v>21.06</v>
      </c>
      <c r="L7">
        <v>21.31</v>
      </c>
      <c r="M7">
        <v>5652243</v>
      </c>
      <c r="N7">
        <v>5685403</v>
      </c>
      <c r="O7">
        <v>57</v>
      </c>
      <c r="P7">
        <v>49</v>
      </c>
      <c r="Q7">
        <v>8052386</v>
      </c>
      <c r="R7">
        <v>8027162</v>
      </c>
      <c r="S7">
        <v>4974750</v>
      </c>
      <c r="T7">
        <v>4950543</v>
      </c>
      <c r="U7">
        <v>0</v>
      </c>
      <c r="V7">
        <v>0</v>
      </c>
      <c r="W7">
        <v>0</v>
      </c>
      <c r="X7">
        <v>0</v>
      </c>
      <c r="Y7">
        <v>9605082</v>
      </c>
      <c r="Z7">
        <v>9344716</v>
      </c>
      <c r="AA7">
        <f t="shared" si="1"/>
        <v>-25224</v>
      </c>
      <c r="AB7">
        <f t="shared" si="0"/>
        <v>-0.3132487687500326</v>
      </c>
    </row>
    <row r="8" spans="1:28">
      <c r="A8" t="s">
        <v>35</v>
      </c>
      <c r="B8" s="2">
        <v>44440</v>
      </c>
      <c r="C8" s="2">
        <v>44409</v>
      </c>
      <c r="D8" s="2">
        <v>44522</v>
      </c>
      <c r="E8">
        <v>10958561</v>
      </c>
      <c r="F8">
        <v>10392791</v>
      </c>
      <c r="G8">
        <v>-565770</v>
      </c>
      <c r="H8">
        <v>104.94</v>
      </c>
      <c r="I8">
        <v>40000</v>
      </c>
      <c r="J8" t="s">
        <v>29</v>
      </c>
      <c r="K8">
        <v>2.89</v>
      </c>
      <c r="L8">
        <v>2.93</v>
      </c>
      <c r="M8">
        <v>3314396</v>
      </c>
      <c r="N8">
        <v>3327816</v>
      </c>
      <c r="O8">
        <v>93</v>
      </c>
      <c r="P8">
        <v>93</v>
      </c>
      <c r="Q8">
        <v>612917</v>
      </c>
      <c r="R8">
        <v>605149</v>
      </c>
      <c r="S8">
        <v>2693275</v>
      </c>
      <c r="T8">
        <v>2700415</v>
      </c>
      <c r="U8">
        <v>0</v>
      </c>
      <c r="V8">
        <v>0</v>
      </c>
      <c r="W8">
        <v>0</v>
      </c>
      <c r="X8">
        <v>0</v>
      </c>
      <c r="Y8">
        <v>4337880</v>
      </c>
      <c r="Z8">
        <v>3759318</v>
      </c>
      <c r="AA8">
        <f t="shared" si="1"/>
        <v>-7768</v>
      </c>
      <c r="AB8">
        <f t="shared" si="0"/>
        <v>-1.267382043571968</v>
      </c>
    </row>
    <row r="9" spans="1:28">
      <c r="A9" t="s">
        <v>36</v>
      </c>
      <c r="B9" s="2">
        <v>44440</v>
      </c>
      <c r="C9" s="2">
        <v>44409</v>
      </c>
      <c r="D9" s="2">
        <v>44522</v>
      </c>
      <c r="E9">
        <v>11945540</v>
      </c>
      <c r="F9">
        <v>11692219</v>
      </c>
      <c r="G9">
        <v>-253321</v>
      </c>
      <c r="H9">
        <v>86.67</v>
      </c>
      <c r="I9">
        <v>10000</v>
      </c>
      <c r="J9" t="s">
        <v>29</v>
      </c>
      <c r="K9">
        <v>1.39</v>
      </c>
      <c r="L9">
        <v>1.4</v>
      </c>
      <c r="M9">
        <v>5487137</v>
      </c>
      <c r="N9">
        <v>5513460</v>
      </c>
      <c r="O9">
        <v>0</v>
      </c>
      <c r="P9">
        <v>0</v>
      </c>
      <c r="Q9">
        <v>469335</v>
      </c>
      <c r="R9">
        <v>454075</v>
      </c>
      <c r="S9">
        <v>1285096</v>
      </c>
      <c r="T9">
        <v>1306794</v>
      </c>
      <c r="U9">
        <v>0</v>
      </c>
      <c r="V9">
        <v>0</v>
      </c>
      <c r="W9">
        <v>0</v>
      </c>
      <c r="X9">
        <v>0</v>
      </c>
      <c r="Y9">
        <v>4703972</v>
      </c>
      <c r="Z9">
        <v>4417890</v>
      </c>
      <c r="AA9">
        <f t="shared" si="1"/>
        <v>-15260</v>
      </c>
      <c r="AB9">
        <f t="shared" si="0"/>
        <v>-3.2514089083490467</v>
      </c>
    </row>
    <row r="10" spans="1:28">
      <c r="A10" t="s">
        <v>37</v>
      </c>
      <c r="B10" s="2">
        <v>44440</v>
      </c>
      <c r="C10" s="2">
        <v>44409</v>
      </c>
      <c r="D10" s="2">
        <v>44522</v>
      </c>
      <c r="E10">
        <v>67859218</v>
      </c>
      <c r="F10">
        <v>66831287</v>
      </c>
      <c r="G10">
        <v>-1027931</v>
      </c>
      <c r="H10">
        <v>84.3</v>
      </c>
      <c r="I10">
        <v>420000</v>
      </c>
      <c r="J10" t="s">
        <v>29</v>
      </c>
      <c r="K10">
        <v>50.13</v>
      </c>
      <c r="L10">
        <v>50.55</v>
      </c>
      <c r="M10">
        <v>30109015</v>
      </c>
      <c r="N10">
        <v>30292369</v>
      </c>
      <c r="O10">
        <v>1241</v>
      </c>
      <c r="P10">
        <v>1209</v>
      </c>
      <c r="Q10">
        <v>8570817</v>
      </c>
      <c r="R10">
        <v>8531587</v>
      </c>
      <c r="S10">
        <v>7040501</v>
      </c>
      <c r="T10">
        <v>7059485</v>
      </c>
      <c r="U10">
        <v>0</v>
      </c>
      <c r="V10">
        <v>0</v>
      </c>
      <c r="W10">
        <v>0</v>
      </c>
      <c r="X10">
        <v>0</v>
      </c>
      <c r="Y10">
        <v>22137644</v>
      </c>
      <c r="Z10">
        <v>20946637</v>
      </c>
      <c r="AA10">
        <f t="shared" si="1"/>
        <v>-39230</v>
      </c>
      <c r="AB10">
        <f t="shared" si="0"/>
        <v>-0.45771599136931757</v>
      </c>
    </row>
    <row r="11" spans="1:28">
      <c r="A11" t="s">
        <v>38</v>
      </c>
      <c r="B11" s="2">
        <v>44440</v>
      </c>
      <c r="C11" s="2">
        <v>44409</v>
      </c>
      <c r="D11" s="2">
        <v>44522</v>
      </c>
      <c r="E11">
        <v>45489569</v>
      </c>
      <c r="F11">
        <v>44108135</v>
      </c>
      <c r="G11">
        <v>-1381434</v>
      </c>
      <c r="H11">
        <v>93.25</v>
      </c>
      <c r="I11">
        <v>270000</v>
      </c>
      <c r="J11" t="s">
        <v>29</v>
      </c>
      <c r="K11">
        <v>16.670000000000002</v>
      </c>
      <c r="L11">
        <v>16.940000000000001</v>
      </c>
      <c r="M11">
        <v>7253904</v>
      </c>
      <c r="N11">
        <v>7379352</v>
      </c>
      <c r="O11">
        <v>337</v>
      </c>
      <c r="P11">
        <v>307</v>
      </c>
      <c r="Q11">
        <v>16506993</v>
      </c>
      <c r="R11">
        <v>16550717</v>
      </c>
      <c r="S11">
        <v>10740162</v>
      </c>
      <c r="T11">
        <v>10714520</v>
      </c>
      <c r="U11">
        <v>0</v>
      </c>
      <c r="V11">
        <v>0</v>
      </c>
      <c r="W11">
        <v>0</v>
      </c>
      <c r="X11">
        <v>0</v>
      </c>
      <c r="Y11">
        <v>10988173</v>
      </c>
      <c r="Z11">
        <v>9463239</v>
      </c>
      <c r="AA11">
        <f t="shared" si="1"/>
        <v>43724</v>
      </c>
      <c r="AB11">
        <f t="shared" si="0"/>
        <v>0.26488167772288995</v>
      </c>
    </row>
    <row r="12" spans="1:28">
      <c r="A12" t="s">
        <v>39</v>
      </c>
      <c r="B12" s="2">
        <v>44440</v>
      </c>
      <c r="C12" s="2">
        <v>44409</v>
      </c>
      <c r="D12" s="2">
        <v>44522</v>
      </c>
      <c r="E12">
        <v>26123398</v>
      </c>
      <c r="F12">
        <v>24694945</v>
      </c>
      <c r="G12">
        <v>-1428453</v>
      </c>
      <c r="H12">
        <v>88.5</v>
      </c>
      <c r="I12">
        <v>130000</v>
      </c>
      <c r="J12" t="s">
        <v>29</v>
      </c>
      <c r="K12">
        <v>13.18</v>
      </c>
      <c r="L12">
        <v>13.31</v>
      </c>
      <c r="M12">
        <v>5613894</v>
      </c>
      <c r="N12">
        <v>5553511</v>
      </c>
      <c r="O12">
        <v>23</v>
      </c>
      <c r="P12">
        <v>23</v>
      </c>
      <c r="Q12">
        <v>6477190</v>
      </c>
      <c r="R12">
        <v>6457356</v>
      </c>
      <c r="S12">
        <v>2328786</v>
      </c>
      <c r="T12">
        <v>2332993</v>
      </c>
      <c r="U12">
        <v>0</v>
      </c>
      <c r="V12">
        <v>0</v>
      </c>
      <c r="W12">
        <v>0</v>
      </c>
      <c r="X12">
        <v>0</v>
      </c>
      <c r="Y12">
        <v>11703505</v>
      </c>
      <c r="Z12">
        <v>10351062</v>
      </c>
      <c r="AA12">
        <f t="shared" si="1"/>
        <v>-19834</v>
      </c>
      <c r="AB12">
        <f t="shared" si="0"/>
        <v>-0.30621303373839581</v>
      </c>
    </row>
    <row r="13" spans="1:28">
      <c r="A13" t="s">
        <v>40</v>
      </c>
      <c r="B13" s="2">
        <v>44440</v>
      </c>
      <c r="C13" s="2">
        <v>44409</v>
      </c>
      <c r="D13" s="2">
        <v>44522</v>
      </c>
      <c r="E13">
        <v>79240398</v>
      </c>
      <c r="F13">
        <v>78859255</v>
      </c>
      <c r="G13">
        <v>-381143</v>
      </c>
      <c r="H13">
        <v>82.37</v>
      </c>
      <c r="I13">
        <v>860000</v>
      </c>
      <c r="J13" t="s">
        <v>29</v>
      </c>
      <c r="K13">
        <v>45.38</v>
      </c>
      <c r="L13">
        <v>46.24</v>
      </c>
      <c r="M13">
        <v>15540168</v>
      </c>
      <c r="N13">
        <v>15459137</v>
      </c>
      <c r="O13">
        <v>0</v>
      </c>
      <c r="P13">
        <v>0</v>
      </c>
      <c r="Q13">
        <v>20896193</v>
      </c>
      <c r="R13">
        <v>20787588</v>
      </c>
      <c r="S13">
        <v>6065226</v>
      </c>
      <c r="T13">
        <v>6007209</v>
      </c>
      <c r="U13">
        <v>0</v>
      </c>
      <c r="V13">
        <v>0</v>
      </c>
      <c r="W13">
        <v>0</v>
      </c>
      <c r="X13">
        <v>0</v>
      </c>
      <c r="Y13">
        <v>36738811</v>
      </c>
      <c r="Z13">
        <v>36605321</v>
      </c>
      <c r="AA13">
        <f t="shared" si="1"/>
        <v>-108605</v>
      </c>
      <c r="AB13">
        <f t="shared" si="0"/>
        <v>-0.51973581982134254</v>
      </c>
    </row>
    <row r="14" spans="1:28">
      <c r="A14" t="s">
        <v>41</v>
      </c>
      <c r="B14" s="2">
        <v>44440</v>
      </c>
      <c r="C14" s="2">
        <v>44409</v>
      </c>
      <c r="D14" s="2">
        <v>44522</v>
      </c>
      <c r="E14">
        <v>94842265</v>
      </c>
      <c r="F14">
        <v>93821237</v>
      </c>
      <c r="G14">
        <v>-1021028</v>
      </c>
      <c r="H14">
        <v>94.67</v>
      </c>
      <c r="I14">
        <v>930000</v>
      </c>
      <c r="J14" t="s">
        <v>29</v>
      </c>
      <c r="K14">
        <v>51.76</v>
      </c>
      <c r="L14">
        <v>52.69</v>
      </c>
      <c r="M14">
        <v>20019125</v>
      </c>
      <c r="N14">
        <v>20110593</v>
      </c>
      <c r="O14">
        <v>0</v>
      </c>
      <c r="P14">
        <v>0</v>
      </c>
      <c r="Q14">
        <v>29797552</v>
      </c>
      <c r="R14">
        <v>29368881</v>
      </c>
      <c r="S14">
        <v>6614804</v>
      </c>
      <c r="T14">
        <v>6576590</v>
      </c>
      <c r="U14">
        <v>0</v>
      </c>
      <c r="V14">
        <v>0</v>
      </c>
      <c r="W14">
        <v>0</v>
      </c>
      <c r="X14">
        <v>0</v>
      </c>
      <c r="Y14">
        <v>38410784</v>
      </c>
      <c r="Z14">
        <v>37765173</v>
      </c>
      <c r="AA14">
        <f t="shared" si="1"/>
        <v>-428671</v>
      </c>
      <c r="AB14">
        <f t="shared" si="0"/>
        <v>-1.4386114671433412</v>
      </c>
    </row>
    <row r="15" spans="1:28">
      <c r="A15" t="s">
        <v>42</v>
      </c>
      <c r="B15" s="2">
        <v>44440</v>
      </c>
      <c r="C15" s="2">
        <v>44409</v>
      </c>
      <c r="D15" s="2">
        <v>44522</v>
      </c>
      <c r="E15">
        <v>37622467</v>
      </c>
      <c r="F15">
        <v>35205875</v>
      </c>
      <c r="G15">
        <v>-2416592</v>
      </c>
      <c r="H15">
        <v>71.790000000000006</v>
      </c>
      <c r="I15">
        <v>170000</v>
      </c>
      <c r="J15" t="s">
        <v>29</v>
      </c>
      <c r="K15">
        <v>26.29</v>
      </c>
      <c r="L15">
        <v>26.46</v>
      </c>
      <c r="M15">
        <v>9455415</v>
      </c>
      <c r="N15">
        <v>9469184</v>
      </c>
      <c r="O15">
        <v>2208</v>
      </c>
      <c r="P15">
        <v>2124</v>
      </c>
      <c r="Q15">
        <v>11521563</v>
      </c>
      <c r="R15">
        <v>11579610</v>
      </c>
      <c r="S15">
        <v>0</v>
      </c>
      <c r="T15">
        <v>0</v>
      </c>
      <c r="U15">
        <v>0</v>
      </c>
      <c r="V15">
        <v>0</v>
      </c>
      <c r="W15">
        <v>1117381</v>
      </c>
      <c r="X15">
        <v>1113968</v>
      </c>
      <c r="Y15">
        <v>15525900</v>
      </c>
      <c r="Z15">
        <v>13040989</v>
      </c>
      <c r="AA15">
        <f t="shared" si="1"/>
        <v>58047</v>
      </c>
      <c r="AB15">
        <f t="shared" si="0"/>
        <v>0.50381185261062245</v>
      </c>
    </row>
    <row r="16" spans="1:28">
      <c r="A16" t="s">
        <v>43</v>
      </c>
      <c r="B16" s="2">
        <v>44440</v>
      </c>
      <c r="C16" s="2">
        <v>44409</v>
      </c>
      <c r="D16" s="2">
        <v>44522</v>
      </c>
      <c r="E16">
        <v>12491212</v>
      </c>
      <c r="F16">
        <v>12029217</v>
      </c>
      <c r="G16">
        <v>-461995</v>
      </c>
      <c r="H16">
        <v>87.96</v>
      </c>
      <c r="I16">
        <v>10000</v>
      </c>
      <c r="J16" t="s">
        <v>29</v>
      </c>
      <c r="K16">
        <v>1.63</v>
      </c>
      <c r="L16">
        <v>1.64</v>
      </c>
      <c r="M16">
        <v>5389862</v>
      </c>
      <c r="N16">
        <v>5437472</v>
      </c>
      <c r="O16">
        <v>0</v>
      </c>
      <c r="P16">
        <v>0</v>
      </c>
      <c r="Q16">
        <v>1287316</v>
      </c>
      <c r="R16">
        <v>1268515</v>
      </c>
      <c r="S16">
        <v>1358947</v>
      </c>
      <c r="T16">
        <v>1353900</v>
      </c>
      <c r="U16">
        <v>0</v>
      </c>
      <c r="V16">
        <v>0</v>
      </c>
      <c r="W16">
        <v>0</v>
      </c>
      <c r="X16">
        <v>0</v>
      </c>
      <c r="Y16">
        <v>4455087</v>
      </c>
      <c r="Z16">
        <v>3969330</v>
      </c>
      <c r="AA16">
        <f t="shared" si="1"/>
        <v>-18801</v>
      </c>
      <c r="AB16">
        <f t="shared" si="0"/>
        <v>-1.460480565766292</v>
      </c>
    </row>
    <row r="17" spans="1:28">
      <c r="A17" t="s">
        <v>44</v>
      </c>
      <c r="B17" s="2">
        <v>44440</v>
      </c>
      <c r="C17" s="2">
        <v>44409</v>
      </c>
      <c r="D17" s="2">
        <v>44522</v>
      </c>
      <c r="E17">
        <v>34894211</v>
      </c>
      <c r="F17">
        <v>33751166</v>
      </c>
      <c r="G17">
        <v>-1143045</v>
      </c>
      <c r="H17">
        <v>90.3</v>
      </c>
      <c r="I17">
        <v>170000</v>
      </c>
      <c r="J17" t="s">
        <v>29</v>
      </c>
      <c r="K17">
        <v>12.2</v>
      </c>
      <c r="L17">
        <v>12.37</v>
      </c>
      <c r="M17">
        <v>11074630</v>
      </c>
      <c r="N17">
        <v>10990316</v>
      </c>
      <c r="O17">
        <v>152</v>
      </c>
      <c r="P17">
        <v>150</v>
      </c>
      <c r="Q17">
        <v>2086594</v>
      </c>
      <c r="R17">
        <v>2069538</v>
      </c>
      <c r="S17">
        <v>6387974</v>
      </c>
      <c r="T17">
        <v>6344305</v>
      </c>
      <c r="U17">
        <v>0</v>
      </c>
      <c r="V17">
        <v>0</v>
      </c>
      <c r="W17">
        <v>0</v>
      </c>
      <c r="X17">
        <v>0</v>
      </c>
      <c r="Y17">
        <v>15344861</v>
      </c>
      <c r="Z17">
        <v>14346857</v>
      </c>
      <c r="AA17">
        <f t="shared" si="1"/>
        <v>-17056</v>
      </c>
      <c r="AB17">
        <f t="shared" si="0"/>
        <v>-0.81740865736218937</v>
      </c>
    </row>
    <row r="18" spans="1:28">
      <c r="A18" t="s">
        <v>45</v>
      </c>
      <c r="B18" s="2">
        <v>44440</v>
      </c>
      <c r="C18" s="2">
        <v>44409</v>
      </c>
      <c r="D18" s="2">
        <v>44522</v>
      </c>
      <c r="E18">
        <v>39304113</v>
      </c>
      <c r="F18">
        <v>37977543</v>
      </c>
      <c r="G18">
        <v>-1326570</v>
      </c>
      <c r="H18">
        <v>84.3</v>
      </c>
      <c r="I18">
        <v>290000</v>
      </c>
      <c r="J18" t="s">
        <v>29</v>
      </c>
      <c r="K18">
        <v>23.54</v>
      </c>
      <c r="L18">
        <v>23.83</v>
      </c>
      <c r="M18">
        <v>11438251</v>
      </c>
      <c r="N18">
        <v>11480248</v>
      </c>
      <c r="O18">
        <v>243</v>
      </c>
      <c r="P18">
        <v>222</v>
      </c>
      <c r="Q18">
        <v>8781165</v>
      </c>
      <c r="R18">
        <v>8864450</v>
      </c>
      <c r="S18">
        <v>5345093</v>
      </c>
      <c r="T18">
        <v>5388005</v>
      </c>
      <c r="U18">
        <v>0</v>
      </c>
      <c r="V18">
        <v>0</v>
      </c>
      <c r="W18">
        <v>0</v>
      </c>
      <c r="X18">
        <v>0</v>
      </c>
      <c r="Y18">
        <v>13739361</v>
      </c>
      <c r="Z18">
        <v>12244618</v>
      </c>
      <c r="AA18">
        <f t="shared" si="1"/>
        <v>83285</v>
      </c>
      <c r="AB18">
        <f t="shared" si="0"/>
        <v>0.94845046186923931</v>
      </c>
    </row>
    <row r="19" spans="1:28">
      <c r="A19" t="s">
        <v>46</v>
      </c>
      <c r="B19" s="2">
        <v>44440</v>
      </c>
      <c r="C19" s="2">
        <v>44409</v>
      </c>
      <c r="D19" s="2">
        <v>44522</v>
      </c>
      <c r="E19">
        <v>65473308</v>
      </c>
      <c r="F19">
        <v>64692292</v>
      </c>
      <c r="G19">
        <v>-781016</v>
      </c>
      <c r="H19">
        <v>89.98</v>
      </c>
      <c r="I19">
        <v>640000</v>
      </c>
      <c r="J19" t="s">
        <v>29</v>
      </c>
      <c r="K19">
        <v>45.43</v>
      </c>
      <c r="L19">
        <v>46.07</v>
      </c>
      <c r="M19">
        <v>21681220</v>
      </c>
      <c r="N19">
        <v>21589292</v>
      </c>
      <c r="O19">
        <v>233</v>
      </c>
      <c r="P19">
        <v>222</v>
      </c>
      <c r="Q19">
        <v>11650429</v>
      </c>
      <c r="R19">
        <v>11626794</v>
      </c>
      <c r="S19">
        <v>5972642</v>
      </c>
      <c r="T19">
        <v>6033689</v>
      </c>
      <c r="U19">
        <v>0</v>
      </c>
      <c r="V19">
        <v>0</v>
      </c>
      <c r="W19">
        <v>0</v>
      </c>
      <c r="X19">
        <v>0</v>
      </c>
      <c r="Y19">
        <v>26168784</v>
      </c>
      <c r="Z19">
        <v>25442295</v>
      </c>
      <c r="AA19">
        <f t="shared" si="1"/>
        <v>-23635</v>
      </c>
      <c r="AB19">
        <f t="shared" si="0"/>
        <v>-0.20286806606005667</v>
      </c>
    </row>
    <row r="20" spans="1:28">
      <c r="A20" t="s">
        <v>47</v>
      </c>
      <c r="B20" s="2">
        <v>44440</v>
      </c>
      <c r="C20" s="2">
        <v>44409</v>
      </c>
      <c r="D20" s="2">
        <v>44522</v>
      </c>
      <c r="E20">
        <v>82962536</v>
      </c>
      <c r="F20">
        <v>81559305</v>
      </c>
      <c r="G20">
        <v>-1403231</v>
      </c>
      <c r="H20">
        <v>93.76</v>
      </c>
      <c r="I20">
        <v>380000</v>
      </c>
      <c r="J20" t="s">
        <v>29</v>
      </c>
      <c r="K20">
        <v>46.93</v>
      </c>
      <c r="L20">
        <v>47.31</v>
      </c>
      <c r="M20">
        <v>27349057</v>
      </c>
      <c r="N20">
        <v>27595251</v>
      </c>
      <c r="O20">
        <v>481</v>
      </c>
      <c r="P20">
        <v>468</v>
      </c>
      <c r="Q20">
        <v>18469158</v>
      </c>
      <c r="R20">
        <v>18421575</v>
      </c>
      <c r="S20">
        <v>10685173</v>
      </c>
      <c r="T20">
        <v>9887738</v>
      </c>
      <c r="U20">
        <v>52947</v>
      </c>
      <c r="V20">
        <v>53618</v>
      </c>
      <c r="W20">
        <v>0</v>
      </c>
      <c r="X20">
        <v>0</v>
      </c>
      <c r="Y20">
        <v>26405720</v>
      </c>
      <c r="Z20">
        <v>25600655</v>
      </c>
      <c r="AA20">
        <f t="shared" si="1"/>
        <v>-47583</v>
      </c>
      <c r="AB20">
        <f t="shared" si="0"/>
        <v>-0.25763491762862173</v>
      </c>
    </row>
    <row r="21" spans="1:28">
      <c r="A21" t="s">
        <v>48</v>
      </c>
      <c r="B21" s="2">
        <v>44440</v>
      </c>
      <c r="C21" s="2">
        <v>44409</v>
      </c>
      <c r="D21" s="2">
        <v>44522</v>
      </c>
      <c r="E21">
        <v>102492449</v>
      </c>
      <c r="F21">
        <v>101867942</v>
      </c>
      <c r="G21">
        <v>-624507</v>
      </c>
      <c r="H21">
        <v>85.61</v>
      </c>
      <c r="I21">
        <v>1400000</v>
      </c>
      <c r="J21" t="s">
        <v>29</v>
      </c>
      <c r="K21">
        <v>44.84</v>
      </c>
      <c r="L21">
        <v>46.24</v>
      </c>
      <c r="M21">
        <v>36600020</v>
      </c>
      <c r="N21">
        <v>36561974</v>
      </c>
      <c r="O21">
        <v>0</v>
      </c>
      <c r="P21">
        <v>0</v>
      </c>
      <c r="Q21">
        <v>20915562</v>
      </c>
      <c r="R21">
        <v>20781191</v>
      </c>
      <c r="S21">
        <v>11138641</v>
      </c>
      <c r="T21">
        <v>11132440</v>
      </c>
      <c r="U21">
        <v>0</v>
      </c>
      <c r="V21">
        <v>0</v>
      </c>
      <c r="W21">
        <v>0</v>
      </c>
      <c r="X21">
        <v>0</v>
      </c>
      <c r="Y21">
        <v>33838226</v>
      </c>
      <c r="Z21">
        <v>33392337</v>
      </c>
      <c r="AA21">
        <f t="shared" si="1"/>
        <v>-134371</v>
      </c>
      <c r="AB21">
        <f t="shared" si="0"/>
        <v>-0.64244508466949157</v>
      </c>
    </row>
    <row r="22" spans="1:28">
      <c r="A22" t="s">
        <v>49</v>
      </c>
      <c r="B22" s="2">
        <v>44440</v>
      </c>
      <c r="C22" s="2">
        <v>44409</v>
      </c>
      <c r="D22" s="2">
        <v>44522</v>
      </c>
      <c r="E22">
        <v>64844769</v>
      </c>
      <c r="F22">
        <v>64457308</v>
      </c>
      <c r="G22">
        <v>-387461</v>
      </c>
      <c r="H22">
        <v>82.52</v>
      </c>
      <c r="I22">
        <v>1100000</v>
      </c>
      <c r="J22" t="s">
        <v>29</v>
      </c>
      <c r="K22">
        <v>36</v>
      </c>
      <c r="L22">
        <v>37.1</v>
      </c>
      <c r="M22">
        <v>17899301</v>
      </c>
      <c r="N22">
        <v>17902978</v>
      </c>
      <c r="O22">
        <v>174</v>
      </c>
      <c r="P22">
        <v>146</v>
      </c>
      <c r="Q22">
        <v>19325518</v>
      </c>
      <c r="R22">
        <v>19343161</v>
      </c>
      <c r="S22">
        <v>5696082</v>
      </c>
      <c r="T22">
        <v>5676052</v>
      </c>
      <c r="U22">
        <v>0</v>
      </c>
      <c r="V22">
        <v>0</v>
      </c>
      <c r="W22">
        <v>0</v>
      </c>
      <c r="X22">
        <v>0</v>
      </c>
      <c r="Y22">
        <v>21923694</v>
      </c>
      <c r="Z22">
        <v>21534971</v>
      </c>
      <c r="AA22">
        <f t="shared" si="1"/>
        <v>17643</v>
      </c>
      <c r="AB22">
        <f t="shared" si="0"/>
        <v>9.129380128387761E-2</v>
      </c>
    </row>
    <row r="23" spans="1:28">
      <c r="A23" t="s">
        <v>50</v>
      </c>
      <c r="B23" s="2">
        <v>44440</v>
      </c>
      <c r="C23" s="2">
        <v>44409</v>
      </c>
      <c r="D23" s="2">
        <v>44522</v>
      </c>
      <c r="E23">
        <v>57632882</v>
      </c>
      <c r="F23">
        <v>57294181</v>
      </c>
      <c r="G23">
        <v>-338701</v>
      </c>
      <c r="H23">
        <v>94.33</v>
      </c>
      <c r="I23">
        <v>610000</v>
      </c>
      <c r="J23" t="s">
        <v>29</v>
      </c>
      <c r="K23">
        <v>32.880000000000003</v>
      </c>
      <c r="L23">
        <v>33.49</v>
      </c>
      <c r="M23">
        <v>15342610</v>
      </c>
      <c r="N23">
        <v>15295963</v>
      </c>
      <c r="O23">
        <v>538</v>
      </c>
      <c r="P23">
        <v>506</v>
      </c>
      <c r="Q23">
        <v>16472500</v>
      </c>
      <c r="R23">
        <v>16496690</v>
      </c>
      <c r="S23">
        <v>2554709</v>
      </c>
      <c r="T23">
        <v>2571430</v>
      </c>
      <c r="U23">
        <v>0</v>
      </c>
      <c r="V23">
        <v>0</v>
      </c>
      <c r="W23">
        <v>0</v>
      </c>
      <c r="X23">
        <v>0</v>
      </c>
      <c r="Y23">
        <v>23262525</v>
      </c>
      <c r="Z23">
        <v>22929592</v>
      </c>
      <c r="AA23">
        <f t="shared" si="1"/>
        <v>24190</v>
      </c>
      <c r="AB23">
        <f t="shared" si="0"/>
        <v>0.14685081195932614</v>
      </c>
    </row>
    <row r="24" spans="1:28">
      <c r="A24" t="s">
        <v>28</v>
      </c>
      <c r="B24" s="2">
        <v>44470</v>
      </c>
      <c r="C24" s="2">
        <v>44440</v>
      </c>
      <c r="D24" s="2">
        <v>44550</v>
      </c>
      <c r="E24">
        <v>86396038</v>
      </c>
      <c r="F24">
        <v>86092912</v>
      </c>
      <c r="G24">
        <v>-303126</v>
      </c>
      <c r="H24">
        <v>89.25</v>
      </c>
      <c r="I24">
        <v>430000</v>
      </c>
      <c r="J24" t="s">
        <v>29</v>
      </c>
      <c r="K24">
        <v>48.69</v>
      </c>
      <c r="L24">
        <v>49.12</v>
      </c>
      <c r="M24">
        <v>31193079</v>
      </c>
      <c r="N24">
        <v>31114350</v>
      </c>
      <c r="O24">
        <v>0</v>
      </c>
      <c r="P24">
        <v>0</v>
      </c>
      <c r="Q24">
        <v>14768586</v>
      </c>
      <c r="R24">
        <v>14589459</v>
      </c>
      <c r="S24">
        <v>9043969</v>
      </c>
      <c r="T24">
        <v>9108418</v>
      </c>
      <c r="U24">
        <v>0</v>
      </c>
      <c r="V24">
        <v>0</v>
      </c>
      <c r="W24">
        <v>0</v>
      </c>
      <c r="X24">
        <v>0</v>
      </c>
      <c r="Y24">
        <v>31390404</v>
      </c>
      <c r="Z24">
        <v>31280685</v>
      </c>
      <c r="AA24">
        <f t="shared" si="1"/>
        <v>-179127</v>
      </c>
      <c r="AB24">
        <f t="shared" si="0"/>
        <v>-1.2128920128169345</v>
      </c>
    </row>
    <row r="25" spans="1:28">
      <c r="A25" t="s">
        <v>30</v>
      </c>
      <c r="B25" s="2">
        <v>44470</v>
      </c>
      <c r="C25" s="2">
        <v>44440</v>
      </c>
      <c r="D25" s="2">
        <v>44550</v>
      </c>
      <c r="E25">
        <v>24353494</v>
      </c>
      <c r="F25">
        <v>24441292</v>
      </c>
      <c r="G25">
        <v>87798</v>
      </c>
      <c r="H25">
        <v>87.21</v>
      </c>
      <c r="I25">
        <v>40000</v>
      </c>
      <c r="J25" t="s">
        <v>29</v>
      </c>
      <c r="K25">
        <v>4.43</v>
      </c>
      <c r="L25">
        <v>4.47</v>
      </c>
      <c r="M25">
        <v>9666469</v>
      </c>
      <c r="N25">
        <v>9748438</v>
      </c>
      <c r="O25">
        <v>0</v>
      </c>
      <c r="P25">
        <v>0</v>
      </c>
      <c r="Q25">
        <v>2896364</v>
      </c>
      <c r="R25">
        <v>2844345</v>
      </c>
      <c r="S25">
        <v>3097802</v>
      </c>
      <c r="T25">
        <v>3111491</v>
      </c>
      <c r="U25">
        <v>0</v>
      </c>
      <c r="V25">
        <v>0</v>
      </c>
      <c r="W25">
        <v>0</v>
      </c>
      <c r="X25">
        <v>0</v>
      </c>
      <c r="Y25">
        <v>8692859</v>
      </c>
      <c r="Z25">
        <v>8737018</v>
      </c>
      <c r="AA25">
        <f t="shared" si="1"/>
        <v>-52019</v>
      </c>
      <c r="AB25">
        <f t="shared" si="0"/>
        <v>-1.7960104462008228</v>
      </c>
    </row>
    <row r="26" spans="1:28">
      <c r="A26" t="s">
        <v>31</v>
      </c>
      <c r="B26" s="2">
        <v>44470</v>
      </c>
      <c r="C26" s="2">
        <v>44440</v>
      </c>
      <c r="D26" s="2">
        <v>44550</v>
      </c>
      <c r="E26">
        <v>86938036</v>
      </c>
      <c r="F26">
        <v>86659277</v>
      </c>
      <c r="G26">
        <v>-278759</v>
      </c>
      <c r="H26">
        <v>84.02</v>
      </c>
      <c r="I26">
        <v>520000</v>
      </c>
      <c r="J26" t="s">
        <v>29</v>
      </c>
      <c r="K26">
        <v>31.02</v>
      </c>
      <c r="L26">
        <v>31.54</v>
      </c>
      <c r="M26">
        <v>36289924</v>
      </c>
      <c r="N26">
        <v>36102624</v>
      </c>
      <c r="O26">
        <v>0</v>
      </c>
      <c r="P26">
        <v>0</v>
      </c>
      <c r="Q26">
        <v>10973747</v>
      </c>
      <c r="R26">
        <v>10877621</v>
      </c>
      <c r="S26">
        <v>5543665</v>
      </c>
      <c r="T26">
        <v>5495516</v>
      </c>
      <c r="U26">
        <v>0</v>
      </c>
      <c r="V26">
        <v>0</v>
      </c>
      <c r="W26">
        <v>0</v>
      </c>
      <c r="X26">
        <v>0</v>
      </c>
      <c r="Y26">
        <v>34130700</v>
      </c>
      <c r="Z26">
        <v>34183516</v>
      </c>
      <c r="AA26">
        <f t="shared" si="1"/>
        <v>-96126</v>
      </c>
      <c r="AB26">
        <f t="shared" si="0"/>
        <v>-0.87596333321699504</v>
      </c>
    </row>
    <row r="27" spans="1:28">
      <c r="A27" t="s">
        <v>32</v>
      </c>
      <c r="B27" s="2">
        <v>44470</v>
      </c>
      <c r="C27" s="2">
        <v>44440</v>
      </c>
      <c r="D27" s="2">
        <v>44550</v>
      </c>
      <c r="E27">
        <v>52403354</v>
      </c>
      <c r="F27">
        <v>52556010</v>
      </c>
      <c r="G27">
        <v>152656</v>
      </c>
      <c r="H27">
        <v>73.53</v>
      </c>
      <c r="I27">
        <v>390000</v>
      </c>
      <c r="J27" t="s">
        <v>29</v>
      </c>
      <c r="K27">
        <v>31.09</v>
      </c>
      <c r="L27">
        <v>31.48</v>
      </c>
      <c r="M27">
        <v>15829346</v>
      </c>
      <c r="N27">
        <v>15814431</v>
      </c>
      <c r="O27">
        <v>327</v>
      </c>
      <c r="P27">
        <v>320</v>
      </c>
      <c r="Q27">
        <v>15812011</v>
      </c>
      <c r="R27">
        <v>15774846</v>
      </c>
      <c r="S27">
        <v>0</v>
      </c>
      <c r="T27">
        <v>0</v>
      </c>
      <c r="U27">
        <v>0</v>
      </c>
      <c r="V27">
        <v>0</v>
      </c>
      <c r="W27">
        <v>2155755</v>
      </c>
      <c r="X27">
        <v>2154926</v>
      </c>
      <c r="Y27">
        <v>18605915</v>
      </c>
      <c r="Z27">
        <v>18811487</v>
      </c>
      <c r="AA27">
        <f t="shared" si="1"/>
        <v>-37165</v>
      </c>
      <c r="AB27">
        <f t="shared" si="0"/>
        <v>-0.23504284179918672</v>
      </c>
    </row>
    <row r="28" spans="1:28">
      <c r="A28" t="s">
        <v>33</v>
      </c>
      <c r="B28" s="2">
        <v>44470</v>
      </c>
      <c r="C28" s="2">
        <v>44440</v>
      </c>
      <c r="D28" s="2">
        <v>44550</v>
      </c>
      <c r="E28">
        <v>68687658</v>
      </c>
      <c r="F28">
        <v>68712262</v>
      </c>
      <c r="G28">
        <v>24604</v>
      </c>
      <c r="H28">
        <v>95.58</v>
      </c>
      <c r="I28">
        <v>470000</v>
      </c>
      <c r="J28" t="s">
        <v>29</v>
      </c>
      <c r="K28">
        <v>43.15</v>
      </c>
      <c r="L28">
        <v>43.62</v>
      </c>
      <c r="M28">
        <v>11842855</v>
      </c>
      <c r="N28">
        <v>11743743</v>
      </c>
      <c r="O28">
        <v>167</v>
      </c>
      <c r="P28">
        <v>166</v>
      </c>
      <c r="Q28">
        <v>24305580</v>
      </c>
      <c r="R28">
        <v>24206672</v>
      </c>
      <c r="S28">
        <v>5676308</v>
      </c>
      <c r="T28">
        <v>5590010</v>
      </c>
      <c r="U28">
        <v>0</v>
      </c>
      <c r="V28">
        <v>0</v>
      </c>
      <c r="W28">
        <v>0</v>
      </c>
      <c r="X28">
        <v>0</v>
      </c>
      <c r="Y28">
        <v>26862748</v>
      </c>
      <c r="Z28">
        <v>27171671</v>
      </c>
      <c r="AA28">
        <f t="shared" si="1"/>
        <v>-98908</v>
      </c>
      <c r="AB28">
        <f t="shared" si="0"/>
        <v>-0.4069353621678643</v>
      </c>
    </row>
    <row r="29" spans="1:28">
      <c r="A29" t="s">
        <v>34</v>
      </c>
      <c r="B29" s="2">
        <v>44470</v>
      </c>
      <c r="C29" s="2">
        <v>44440</v>
      </c>
      <c r="D29" s="2">
        <v>44550</v>
      </c>
      <c r="E29">
        <v>28007873</v>
      </c>
      <c r="F29">
        <v>27996591</v>
      </c>
      <c r="G29">
        <v>-11282</v>
      </c>
      <c r="H29">
        <v>87.28</v>
      </c>
      <c r="I29">
        <v>170000</v>
      </c>
      <c r="J29" t="s">
        <v>29</v>
      </c>
      <c r="K29">
        <v>21.31</v>
      </c>
      <c r="L29">
        <v>21.48</v>
      </c>
      <c r="M29">
        <v>5685403</v>
      </c>
      <c r="N29">
        <v>5682781</v>
      </c>
      <c r="O29">
        <v>49</v>
      </c>
      <c r="P29">
        <v>47</v>
      </c>
      <c r="Q29">
        <v>8027162</v>
      </c>
      <c r="R29">
        <v>7962609</v>
      </c>
      <c r="S29">
        <v>4950543</v>
      </c>
      <c r="T29">
        <v>4986044</v>
      </c>
      <c r="U29">
        <v>0</v>
      </c>
      <c r="V29">
        <v>0</v>
      </c>
      <c r="W29">
        <v>0</v>
      </c>
      <c r="X29">
        <v>0</v>
      </c>
      <c r="Y29">
        <v>9344716</v>
      </c>
      <c r="Z29">
        <v>9365110</v>
      </c>
      <c r="AA29">
        <f t="shared" si="1"/>
        <v>-64553</v>
      </c>
      <c r="AB29">
        <f t="shared" si="0"/>
        <v>-0.80418210072252183</v>
      </c>
    </row>
    <row r="30" spans="1:28">
      <c r="A30" t="s">
        <v>35</v>
      </c>
      <c r="B30" s="2">
        <v>44470</v>
      </c>
      <c r="C30" s="2">
        <v>44440</v>
      </c>
      <c r="D30" s="2">
        <v>44550</v>
      </c>
      <c r="E30">
        <v>10392791</v>
      </c>
      <c r="F30">
        <v>10406150</v>
      </c>
      <c r="G30">
        <v>13359</v>
      </c>
      <c r="H30">
        <v>106.52</v>
      </c>
      <c r="I30">
        <v>30000</v>
      </c>
      <c r="J30" t="s">
        <v>29</v>
      </c>
      <c r="K30">
        <v>2.93</v>
      </c>
      <c r="L30">
        <v>2.96</v>
      </c>
      <c r="M30">
        <v>3327816</v>
      </c>
      <c r="N30">
        <v>3323832</v>
      </c>
      <c r="O30">
        <v>93</v>
      </c>
      <c r="P30">
        <v>93</v>
      </c>
      <c r="Q30">
        <v>605149</v>
      </c>
      <c r="R30">
        <v>597924</v>
      </c>
      <c r="S30">
        <v>2700415</v>
      </c>
      <c r="T30">
        <v>2705274</v>
      </c>
      <c r="U30">
        <v>0</v>
      </c>
      <c r="V30">
        <v>0</v>
      </c>
      <c r="W30">
        <v>0</v>
      </c>
      <c r="X30">
        <v>0</v>
      </c>
      <c r="Y30">
        <v>3759318</v>
      </c>
      <c r="Z30">
        <v>3779027</v>
      </c>
      <c r="AA30">
        <f t="shared" si="1"/>
        <v>-7225</v>
      </c>
      <c r="AB30">
        <f t="shared" si="0"/>
        <v>-1.1939208360255078</v>
      </c>
    </row>
    <row r="31" spans="1:28">
      <c r="A31" t="s">
        <v>36</v>
      </c>
      <c r="B31" s="2">
        <v>44470</v>
      </c>
      <c r="C31" s="2">
        <v>44440</v>
      </c>
      <c r="D31" s="2">
        <v>44550</v>
      </c>
      <c r="E31">
        <v>11692219</v>
      </c>
      <c r="F31">
        <v>11658647</v>
      </c>
      <c r="G31">
        <v>-33572</v>
      </c>
      <c r="H31">
        <v>88.01</v>
      </c>
      <c r="I31">
        <v>20000</v>
      </c>
      <c r="J31" t="s">
        <v>29</v>
      </c>
      <c r="K31">
        <v>1.4</v>
      </c>
      <c r="L31">
        <v>1.42</v>
      </c>
      <c r="M31">
        <v>5513460</v>
      </c>
      <c r="N31">
        <v>5506324</v>
      </c>
      <c r="O31">
        <v>0</v>
      </c>
      <c r="P31">
        <v>0</v>
      </c>
      <c r="Q31">
        <v>454075</v>
      </c>
      <c r="R31">
        <v>446906</v>
      </c>
      <c r="S31">
        <v>1306794</v>
      </c>
      <c r="T31">
        <v>1312811</v>
      </c>
      <c r="U31">
        <v>0</v>
      </c>
      <c r="V31">
        <v>0</v>
      </c>
      <c r="W31">
        <v>0</v>
      </c>
      <c r="X31">
        <v>0</v>
      </c>
      <c r="Y31">
        <v>4417890</v>
      </c>
      <c r="Z31">
        <v>4392606</v>
      </c>
      <c r="AA31">
        <f t="shared" si="1"/>
        <v>-7169</v>
      </c>
      <c r="AB31">
        <f t="shared" si="0"/>
        <v>-1.578814072565105</v>
      </c>
    </row>
    <row r="32" spans="1:28">
      <c r="A32" t="s">
        <v>37</v>
      </c>
      <c r="B32" s="2">
        <v>44470</v>
      </c>
      <c r="C32" s="2">
        <v>44440</v>
      </c>
      <c r="D32" s="2">
        <v>44550</v>
      </c>
      <c r="E32">
        <v>66831287</v>
      </c>
      <c r="F32">
        <v>66713321</v>
      </c>
      <c r="G32">
        <v>-117966</v>
      </c>
      <c r="H32">
        <v>84.52</v>
      </c>
      <c r="I32">
        <v>340000</v>
      </c>
      <c r="J32" t="s">
        <v>29</v>
      </c>
      <c r="K32">
        <v>50.55</v>
      </c>
      <c r="L32">
        <v>50.89</v>
      </c>
      <c r="M32">
        <v>30292369</v>
      </c>
      <c r="N32">
        <v>30293784</v>
      </c>
      <c r="O32">
        <v>1209</v>
      </c>
      <c r="P32">
        <v>957</v>
      </c>
      <c r="Q32">
        <v>8531587</v>
      </c>
      <c r="R32">
        <v>8456083</v>
      </c>
      <c r="S32">
        <v>7059485</v>
      </c>
      <c r="T32">
        <v>7031492</v>
      </c>
      <c r="U32">
        <v>0</v>
      </c>
      <c r="V32">
        <v>0</v>
      </c>
      <c r="W32">
        <v>0</v>
      </c>
      <c r="X32">
        <v>0</v>
      </c>
      <c r="Y32">
        <v>20946637</v>
      </c>
      <c r="Z32">
        <v>20931005</v>
      </c>
      <c r="AA32">
        <f t="shared" si="1"/>
        <v>-75504</v>
      </c>
      <c r="AB32">
        <f t="shared" si="0"/>
        <v>-0.88499361256000786</v>
      </c>
    </row>
    <row r="33" spans="1:28">
      <c r="A33" t="s">
        <v>38</v>
      </c>
      <c r="B33" s="2">
        <v>44470</v>
      </c>
      <c r="C33" s="2">
        <v>44440</v>
      </c>
      <c r="D33" s="2">
        <v>44550</v>
      </c>
      <c r="E33">
        <v>44108135</v>
      </c>
      <c r="F33">
        <v>44204805</v>
      </c>
      <c r="G33">
        <v>96670</v>
      </c>
      <c r="H33">
        <v>92.8</v>
      </c>
      <c r="I33">
        <v>220000</v>
      </c>
      <c r="J33" t="s">
        <v>29</v>
      </c>
      <c r="K33">
        <v>16.940000000000001</v>
      </c>
      <c r="L33">
        <v>17.16</v>
      </c>
      <c r="M33">
        <v>7379352</v>
      </c>
      <c r="N33">
        <v>7461603</v>
      </c>
      <c r="O33">
        <v>307</v>
      </c>
      <c r="P33">
        <v>236</v>
      </c>
      <c r="Q33">
        <v>16550717</v>
      </c>
      <c r="R33">
        <v>16576730</v>
      </c>
      <c r="S33">
        <v>10714520</v>
      </c>
      <c r="T33">
        <v>10720778</v>
      </c>
      <c r="U33">
        <v>0</v>
      </c>
      <c r="V33">
        <v>0</v>
      </c>
      <c r="W33">
        <v>0</v>
      </c>
      <c r="X33">
        <v>0</v>
      </c>
      <c r="Y33">
        <v>9463239</v>
      </c>
      <c r="Z33">
        <v>9445458</v>
      </c>
      <c r="AA33">
        <f t="shared" si="1"/>
        <v>26013</v>
      </c>
      <c r="AB33">
        <f t="shared" si="0"/>
        <v>0.15717143855459556</v>
      </c>
    </row>
    <row r="34" spans="1:28">
      <c r="A34" t="s">
        <v>39</v>
      </c>
      <c r="B34" s="2">
        <v>44470</v>
      </c>
      <c r="C34" s="2">
        <v>44440</v>
      </c>
      <c r="D34" s="2">
        <v>44550</v>
      </c>
      <c r="E34">
        <v>24694945</v>
      </c>
      <c r="F34">
        <v>24469323</v>
      </c>
      <c r="G34">
        <v>-225622</v>
      </c>
      <c r="H34">
        <v>89.41</v>
      </c>
      <c r="I34">
        <v>100000</v>
      </c>
      <c r="J34" t="s">
        <v>29</v>
      </c>
      <c r="K34">
        <v>13.31</v>
      </c>
      <c r="L34">
        <v>13.41</v>
      </c>
      <c r="M34">
        <v>5553511</v>
      </c>
      <c r="N34">
        <v>5495417</v>
      </c>
      <c r="O34">
        <v>23</v>
      </c>
      <c r="P34">
        <v>18</v>
      </c>
      <c r="Q34">
        <v>6457356</v>
      </c>
      <c r="R34">
        <v>6402240</v>
      </c>
      <c r="S34">
        <v>2332993</v>
      </c>
      <c r="T34">
        <v>2334289</v>
      </c>
      <c r="U34">
        <v>0</v>
      </c>
      <c r="V34">
        <v>0</v>
      </c>
      <c r="W34">
        <v>0</v>
      </c>
      <c r="X34">
        <v>0</v>
      </c>
      <c r="Y34">
        <v>10351062</v>
      </c>
      <c r="Z34">
        <v>10237359</v>
      </c>
      <c r="AA34">
        <f t="shared" si="1"/>
        <v>-55116</v>
      </c>
      <c r="AB34">
        <f t="shared" si="0"/>
        <v>-0.85353819736746739</v>
      </c>
    </row>
    <row r="35" spans="1:28">
      <c r="A35" t="s">
        <v>40</v>
      </c>
      <c r="B35" s="2">
        <v>44470</v>
      </c>
      <c r="C35" s="2">
        <v>44440</v>
      </c>
      <c r="D35" s="2">
        <v>44550</v>
      </c>
      <c r="E35">
        <v>78859255</v>
      </c>
      <c r="F35">
        <v>79331839</v>
      </c>
      <c r="G35">
        <v>472584</v>
      </c>
      <c r="H35">
        <v>82.71</v>
      </c>
      <c r="I35">
        <v>520000</v>
      </c>
      <c r="J35" t="s">
        <v>29</v>
      </c>
      <c r="K35">
        <v>46.24</v>
      </c>
      <c r="L35">
        <v>46.76</v>
      </c>
      <c r="M35">
        <v>15459137</v>
      </c>
      <c r="N35">
        <v>15447846</v>
      </c>
      <c r="O35">
        <v>0</v>
      </c>
      <c r="P35">
        <v>0</v>
      </c>
      <c r="Q35">
        <v>20787588</v>
      </c>
      <c r="R35">
        <v>20723844</v>
      </c>
      <c r="S35">
        <v>6007209</v>
      </c>
      <c r="T35">
        <v>6005064</v>
      </c>
      <c r="U35">
        <v>0</v>
      </c>
      <c r="V35">
        <v>0</v>
      </c>
      <c r="W35">
        <v>0</v>
      </c>
      <c r="X35">
        <v>0</v>
      </c>
      <c r="Y35">
        <v>36605321</v>
      </c>
      <c r="Z35">
        <v>37155085</v>
      </c>
      <c r="AA35">
        <f t="shared" si="1"/>
        <v>-63744</v>
      </c>
      <c r="AB35">
        <f t="shared" si="0"/>
        <v>-0.30664452268343978</v>
      </c>
    </row>
    <row r="36" spans="1:28">
      <c r="A36" t="s">
        <v>41</v>
      </c>
      <c r="B36" s="2">
        <v>44470</v>
      </c>
      <c r="C36" s="2">
        <v>44440</v>
      </c>
      <c r="D36" s="2">
        <v>44550</v>
      </c>
      <c r="E36">
        <v>93821237</v>
      </c>
      <c r="F36">
        <v>94225071</v>
      </c>
      <c r="G36">
        <v>403834</v>
      </c>
      <c r="H36">
        <v>91.2</v>
      </c>
      <c r="I36">
        <v>670000</v>
      </c>
      <c r="J36" t="s">
        <v>29</v>
      </c>
      <c r="K36">
        <v>52.69</v>
      </c>
      <c r="L36">
        <v>53.36</v>
      </c>
      <c r="M36">
        <v>20110593</v>
      </c>
      <c r="N36">
        <v>20181990</v>
      </c>
      <c r="O36">
        <v>0</v>
      </c>
      <c r="P36">
        <v>0</v>
      </c>
      <c r="Q36">
        <v>29368881</v>
      </c>
      <c r="R36">
        <v>29030093</v>
      </c>
      <c r="S36">
        <v>6576590</v>
      </c>
      <c r="T36">
        <v>6624339</v>
      </c>
      <c r="U36">
        <v>0</v>
      </c>
      <c r="V36">
        <v>0</v>
      </c>
      <c r="W36">
        <v>0</v>
      </c>
      <c r="X36">
        <v>0</v>
      </c>
      <c r="Y36">
        <v>37765173</v>
      </c>
      <c r="Z36">
        <v>38388649</v>
      </c>
      <c r="AA36">
        <f t="shared" si="1"/>
        <v>-338788</v>
      </c>
      <c r="AB36">
        <f t="shared" si="0"/>
        <v>-1.1535611452135341</v>
      </c>
    </row>
    <row r="37" spans="1:28">
      <c r="A37" t="s">
        <v>42</v>
      </c>
      <c r="B37" s="2">
        <v>44470</v>
      </c>
      <c r="C37" s="2">
        <v>44440</v>
      </c>
      <c r="D37" s="2">
        <v>44550</v>
      </c>
      <c r="E37">
        <v>35205875</v>
      </c>
      <c r="F37">
        <v>35242720</v>
      </c>
      <c r="G37">
        <v>36845</v>
      </c>
      <c r="H37">
        <v>71.45</v>
      </c>
      <c r="I37">
        <v>180000</v>
      </c>
      <c r="J37" t="s">
        <v>29</v>
      </c>
      <c r="K37">
        <v>26.46</v>
      </c>
      <c r="L37">
        <v>26.64</v>
      </c>
      <c r="M37">
        <v>9469184</v>
      </c>
      <c r="N37">
        <v>9416692</v>
      </c>
      <c r="O37">
        <v>2124</v>
      </c>
      <c r="P37">
        <v>2097</v>
      </c>
      <c r="Q37">
        <v>11579610</v>
      </c>
      <c r="R37">
        <v>11620995</v>
      </c>
      <c r="S37">
        <v>0</v>
      </c>
      <c r="T37">
        <v>0</v>
      </c>
      <c r="U37">
        <v>0</v>
      </c>
      <c r="V37">
        <v>0</v>
      </c>
      <c r="W37">
        <v>1113968</v>
      </c>
      <c r="X37">
        <v>1110237</v>
      </c>
      <c r="Y37">
        <v>13040989</v>
      </c>
      <c r="Z37">
        <v>13092699</v>
      </c>
      <c r="AA37">
        <f t="shared" si="1"/>
        <v>41385</v>
      </c>
      <c r="AB37">
        <f t="shared" si="0"/>
        <v>0.35739545632365854</v>
      </c>
    </row>
    <row r="38" spans="1:28">
      <c r="A38" t="s">
        <v>43</v>
      </c>
      <c r="B38" s="2">
        <v>44470</v>
      </c>
      <c r="C38" s="2">
        <v>44440</v>
      </c>
      <c r="D38" s="2">
        <v>44550</v>
      </c>
      <c r="E38">
        <v>12029217</v>
      </c>
      <c r="F38">
        <v>12054120</v>
      </c>
      <c r="G38">
        <v>24903</v>
      </c>
      <c r="H38">
        <v>88.29</v>
      </c>
      <c r="I38">
        <v>20000</v>
      </c>
      <c r="J38" t="s">
        <v>29</v>
      </c>
      <c r="K38">
        <v>1.64</v>
      </c>
      <c r="L38">
        <v>1.66</v>
      </c>
      <c r="M38">
        <v>5437472</v>
      </c>
      <c r="N38">
        <v>5465771</v>
      </c>
      <c r="O38">
        <v>0</v>
      </c>
      <c r="P38">
        <v>0</v>
      </c>
      <c r="Q38">
        <v>1268515</v>
      </c>
      <c r="R38">
        <v>1247622</v>
      </c>
      <c r="S38">
        <v>1353900</v>
      </c>
      <c r="T38">
        <v>1352550</v>
      </c>
      <c r="U38">
        <v>0</v>
      </c>
      <c r="V38">
        <v>0</v>
      </c>
      <c r="W38">
        <v>0</v>
      </c>
      <c r="X38">
        <v>0</v>
      </c>
      <c r="Y38">
        <v>3969330</v>
      </c>
      <c r="Z38">
        <v>3988177</v>
      </c>
      <c r="AA38">
        <f t="shared" si="1"/>
        <v>-20893</v>
      </c>
      <c r="AB38">
        <f t="shared" si="0"/>
        <v>-1.6470439845015628</v>
      </c>
    </row>
    <row r="39" spans="1:28">
      <c r="A39" t="s">
        <v>44</v>
      </c>
      <c r="B39" s="2">
        <v>44470</v>
      </c>
      <c r="C39" s="2">
        <v>44440</v>
      </c>
      <c r="D39" s="2">
        <v>44550</v>
      </c>
      <c r="E39">
        <v>33751166</v>
      </c>
      <c r="F39">
        <v>33457172</v>
      </c>
      <c r="G39">
        <v>-293994</v>
      </c>
      <c r="H39">
        <v>91.01</v>
      </c>
      <c r="I39">
        <v>140000</v>
      </c>
      <c r="J39" t="s">
        <v>29</v>
      </c>
      <c r="K39">
        <v>12.37</v>
      </c>
      <c r="L39">
        <v>12.51</v>
      </c>
      <c r="M39">
        <v>10990316</v>
      </c>
      <c r="N39">
        <v>10871307</v>
      </c>
      <c r="O39">
        <v>150</v>
      </c>
      <c r="P39">
        <v>111</v>
      </c>
      <c r="Q39">
        <v>2069538</v>
      </c>
      <c r="R39">
        <v>2033600</v>
      </c>
      <c r="S39">
        <v>6344305</v>
      </c>
      <c r="T39">
        <v>6277613</v>
      </c>
      <c r="U39">
        <v>0</v>
      </c>
      <c r="V39">
        <v>0</v>
      </c>
      <c r="W39">
        <v>0</v>
      </c>
      <c r="X39">
        <v>0</v>
      </c>
      <c r="Y39">
        <v>14346857</v>
      </c>
      <c r="Z39">
        <v>14274541</v>
      </c>
      <c r="AA39">
        <f t="shared" si="1"/>
        <v>-35938</v>
      </c>
      <c r="AB39">
        <f t="shared" si="0"/>
        <v>-1.736522837464207</v>
      </c>
    </row>
    <row r="40" spans="1:28">
      <c r="A40" t="s">
        <v>45</v>
      </c>
      <c r="B40" s="2">
        <v>44470</v>
      </c>
      <c r="C40" s="2">
        <v>44440</v>
      </c>
      <c r="D40" s="2">
        <v>44550</v>
      </c>
      <c r="E40">
        <v>37977543</v>
      </c>
      <c r="F40">
        <v>38137074</v>
      </c>
      <c r="G40">
        <v>159531</v>
      </c>
      <c r="H40">
        <v>82.34</v>
      </c>
      <c r="I40">
        <v>200000</v>
      </c>
      <c r="J40" t="s">
        <v>29</v>
      </c>
      <c r="K40">
        <v>23.83</v>
      </c>
      <c r="L40">
        <v>24.03</v>
      </c>
      <c r="M40">
        <v>11480248</v>
      </c>
      <c r="N40">
        <v>11477678</v>
      </c>
      <c r="O40">
        <v>222</v>
      </c>
      <c r="P40">
        <v>183</v>
      </c>
      <c r="Q40">
        <v>8864450</v>
      </c>
      <c r="R40">
        <v>9004580</v>
      </c>
      <c r="S40">
        <v>5388005</v>
      </c>
      <c r="T40">
        <v>5357459</v>
      </c>
      <c r="U40">
        <v>0</v>
      </c>
      <c r="V40">
        <v>0</v>
      </c>
      <c r="W40">
        <v>0</v>
      </c>
      <c r="X40">
        <v>0</v>
      </c>
      <c r="Y40">
        <v>12244618</v>
      </c>
      <c r="Z40">
        <v>12297174</v>
      </c>
      <c r="AA40">
        <f t="shared" si="1"/>
        <v>140130</v>
      </c>
      <c r="AB40">
        <f t="shared" si="0"/>
        <v>1.5808087360185912</v>
      </c>
    </row>
    <row r="41" spans="1:28">
      <c r="A41" t="s">
        <v>46</v>
      </c>
      <c r="B41" s="2">
        <v>44470</v>
      </c>
      <c r="C41" s="2">
        <v>44440</v>
      </c>
      <c r="D41" s="2">
        <v>44550</v>
      </c>
      <c r="E41">
        <v>64692292</v>
      </c>
      <c r="F41">
        <v>64713598</v>
      </c>
      <c r="G41">
        <v>21306</v>
      </c>
      <c r="H41">
        <v>89.67</v>
      </c>
      <c r="I41">
        <v>430000</v>
      </c>
      <c r="J41" t="s">
        <v>29</v>
      </c>
      <c r="K41">
        <v>46.07</v>
      </c>
      <c r="L41">
        <v>46.5</v>
      </c>
      <c r="M41">
        <v>21589292</v>
      </c>
      <c r="N41">
        <v>21513959</v>
      </c>
      <c r="O41">
        <v>222</v>
      </c>
      <c r="P41">
        <v>207</v>
      </c>
      <c r="Q41">
        <v>11626794</v>
      </c>
      <c r="R41">
        <v>11557027</v>
      </c>
      <c r="S41">
        <v>6033689</v>
      </c>
      <c r="T41">
        <v>6103323</v>
      </c>
      <c r="U41">
        <v>0</v>
      </c>
      <c r="V41">
        <v>0</v>
      </c>
      <c r="W41">
        <v>0</v>
      </c>
      <c r="X41">
        <v>0</v>
      </c>
      <c r="Y41">
        <v>25442295</v>
      </c>
      <c r="Z41">
        <v>25539082</v>
      </c>
      <c r="AA41">
        <f t="shared" si="1"/>
        <v>-69767</v>
      </c>
      <c r="AB41">
        <f t="shared" si="0"/>
        <v>-0.60005363473370221</v>
      </c>
    </row>
    <row r="42" spans="1:28">
      <c r="A42" t="s">
        <v>47</v>
      </c>
      <c r="B42" s="2">
        <v>44470</v>
      </c>
      <c r="C42" s="2">
        <v>44440</v>
      </c>
      <c r="D42" s="2">
        <v>44550</v>
      </c>
      <c r="E42">
        <v>81559305</v>
      </c>
      <c r="F42">
        <v>81264116</v>
      </c>
      <c r="G42">
        <v>-295189</v>
      </c>
      <c r="H42">
        <v>94.01</v>
      </c>
      <c r="I42">
        <v>320000</v>
      </c>
      <c r="J42" t="s">
        <v>29</v>
      </c>
      <c r="K42">
        <v>47.31</v>
      </c>
      <c r="L42">
        <v>47.63</v>
      </c>
      <c r="M42">
        <v>27595251</v>
      </c>
      <c r="N42">
        <v>27665088</v>
      </c>
      <c r="O42">
        <v>468</v>
      </c>
      <c r="P42">
        <v>389</v>
      </c>
      <c r="Q42">
        <v>18421575</v>
      </c>
      <c r="R42">
        <v>18267793</v>
      </c>
      <c r="S42">
        <v>9887738</v>
      </c>
      <c r="T42">
        <v>9875338</v>
      </c>
      <c r="U42">
        <v>53618</v>
      </c>
      <c r="V42">
        <v>56318</v>
      </c>
      <c r="W42">
        <v>0</v>
      </c>
      <c r="X42">
        <v>0</v>
      </c>
      <c r="Y42">
        <v>25600655</v>
      </c>
      <c r="Z42">
        <v>25399190</v>
      </c>
      <c r="AA42">
        <f t="shared" si="1"/>
        <v>-153782</v>
      </c>
      <c r="AB42">
        <f t="shared" si="0"/>
        <v>-0.83479289908707599</v>
      </c>
    </row>
    <row r="43" spans="1:28">
      <c r="A43" t="s">
        <v>48</v>
      </c>
      <c r="B43" s="2">
        <v>44470</v>
      </c>
      <c r="C43" s="2">
        <v>44440</v>
      </c>
      <c r="D43" s="2">
        <v>44550</v>
      </c>
      <c r="E43">
        <v>101867942</v>
      </c>
      <c r="F43">
        <v>102113722</v>
      </c>
      <c r="G43">
        <v>245780</v>
      </c>
      <c r="H43">
        <v>83.92</v>
      </c>
      <c r="I43">
        <v>1000000</v>
      </c>
      <c r="J43" t="s">
        <v>29</v>
      </c>
      <c r="K43">
        <v>46.24</v>
      </c>
      <c r="L43">
        <v>47.24</v>
      </c>
      <c r="M43">
        <v>36561974</v>
      </c>
      <c r="N43">
        <v>36457063</v>
      </c>
      <c r="O43">
        <v>0</v>
      </c>
      <c r="P43">
        <v>0</v>
      </c>
      <c r="Q43">
        <v>20781191</v>
      </c>
      <c r="R43">
        <v>21051817</v>
      </c>
      <c r="S43">
        <v>11132440</v>
      </c>
      <c r="T43">
        <v>11123371</v>
      </c>
      <c r="U43">
        <v>0</v>
      </c>
      <c r="V43">
        <v>0</v>
      </c>
      <c r="W43">
        <v>0</v>
      </c>
      <c r="X43">
        <v>0</v>
      </c>
      <c r="Y43">
        <v>33392337</v>
      </c>
      <c r="Z43">
        <v>33481471</v>
      </c>
      <c r="AA43">
        <f t="shared" si="1"/>
        <v>270626</v>
      </c>
      <c r="AB43">
        <f t="shared" si="0"/>
        <v>1.302264148383026</v>
      </c>
    </row>
    <row r="44" spans="1:28">
      <c r="A44" t="s">
        <v>49</v>
      </c>
      <c r="B44" s="2">
        <v>44470</v>
      </c>
      <c r="C44" s="2">
        <v>44440</v>
      </c>
      <c r="D44" s="2">
        <v>44550</v>
      </c>
      <c r="E44">
        <v>64457308</v>
      </c>
      <c r="F44">
        <v>64610611</v>
      </c>
      <c r="G44">
        <v>153303</v>
      </c>
      <c r="H44">
        <v>83.04</v>
      </c>
      <c r="I44">
        <v>660000</v>
      </c>
      <c r="J44" t="s">
        <v>29</v>
      </c>
      <c r="K44">
        <v>37.1</v>
      </c>
      <c r="L44">
        <v>37.76</v>
      </c>
      <c r="M44">
        <v>17902978</v>
      </c>
      <c r="N44">
        <v>17939539</v>
      </c>
      <c r="O44">
        <v>146</v>
      </c>
      <c r="P44">
        <v>108</v>
      </c>
      <c r="Q44">
        <v>19343161</v>
      </c>
      <c r="R44">
        <v>19271089</v>
      </c>
      <c r="S44">
        <v>5676052</v>
      </c>
      <c r="T44">
        <v>5668625</v>
      </c>
      <c r="U44">
        <v>0</v>
      </c>
      <c r="V44">
        <v>0</v>
      </c>
      <c r="W44">
        <v>0</v>
      </c>
      <c r="X44">
        <v>0</v>
      </c>
      <c r="Y44">
        <v>21534971</v>
      </c>
      <c r="Z44">
        <v>21731250</v>
      </c>
      <c r="AA44">
        <f t="shared" si="1"/>
        <v>-72072</v>
      </c>
      <c r="AB44">
        <f t="shared" si="0"/>
        <v>-0.37259680566170134</v>
      </c>
    </row>
    <row r="45" spans="1:28">
      <c r="A45" t="s">
        <v>50</v>
      </c>
      <c r="B45" s="2">
        <v>44470</v>
      </c>
      <c r="C45" s="2">
        <v>44440</v>
      </c>
      <c r="D45" s="2">
        <v>44550</v>
      </c>
      <c r="E45">
        <v>57294181</v>
      </c>
      <c r="F45">
        <v>57239121</v>
      </c>
      <c r="G45">
        <v>-55060</v>
      </c>
      <c r="H45">
        <v>92.39</v>
      </c>
      <c r="I45">
        <v>430000</v>
      </c>
      <c r="J45" t="s">
        <v>29</v>
      </c>
      <c r="K45">
        <v>33.49</v>
      </c>
      <c r="L45">
        <v>33.92</v>
      </c>
      <c r="M45">
        <v>15295963</v>
      </c>
      <c r="N45">
        <v>15252023</v>
      </c>
      <c r="O45">
        <v>506</v>
      </c>
      <c r="P45">
        <v>472</v>
      </c>
      <c r="Q45">
        <v>16496690</v>
      </c>
      <c r="R45">
        <v>16482187</v>
      </c>
      <c r="S45">
        <v>2571430</v>
      </c>
      <c r="T45">
        <v>2587936</v>
      </c>
      <c r="U45">
        <v>0</v>
      </c>
      <c r="V45">
        <v>0</v>
      </c>
      <c r="W45">
        <v>0</v>
      </c>
      <c r="X45">
        <v>0</v>
      </c>
      <c r="Y45">
        <v>22929592</v>
      </c>
      <c r="Z45">
        <v>22916503</v>
      </c>
      <c r="AA45">
        <f t="shared" si="1"/>
        <v>-14503</v>
      </c>
      <c r="AB45">
        <f t="shared" si="0"/>
        <v>-8.7914605899728979E-2</v>
      </c>
    </row>
    <row r="46" spans="1:28">
      <c r="A46" t="s">
        <v>28</v>
      </c>
      <c r="B46" s="2">
        <v>44501</v>
      </c>
      <c r="C46" s="2">
        <v>44470</v>
      </c>
      <c r="D46" s="2">
        <v>44579</v>
      </c>
      <c r="E46">
        <v>86092912</v>
      </c>
      <c r="F46">
        <v>86233103</v>
      </c>
      <c r="G46">
        <v>140191</v>
      </c>
      <c r="H46">
        <v>88.85</v>
      </c>
      <c r="I46">
        <v>450000</v>
      </c>
      <c r="J46" t="s">
        <v>29</v>
      </c>
      <c r="K46">
        <v>49.12</v>
      </c>
      <c r="L46">
        <v>49.57</v>
      </c>
      <c r="M46">
        <v>31114350</v>
      </c>
      <c r="N46">
        <v>31298106</v>
      </c>
      <c r="O46">
        <v>0</v>
      </c>
      <c r="P46">
        <v>0</v>
      </c>
      <c r="Q46">
        <v>14589459</v>
      </c>
      <c r="R46">
        <v>14417213</v>
      </c>
      <c r="S46">
        <v>9108418</v>
      </c>
      <c r="T46">
        <v>9182467</v>
      </c>
      <c r="U46">
        <v>0</v>
      </c>
      <c r="V46">
        <v>0</v>
      </c>
      <c r="W46">
        <v>0</v>
      </c>
      <c r="X46">
        <v>0</v>
      </c>
      <c r="Y46">
        <v>31280685</v>
      </c>
      <c r="Z46">
        <v>31335317</v>
      </c>
      <c r="AA46">
        <f t="shared" si="1"/>
        <v>-172246</v>
      </c>
      <c r="AB46">
        <f t="shared" si="0"/>
        <v>-1.1806195144042009</v>
      </c>
    </row>
    <row r="47" spans="1:28">
      <c r="A47" t="s">
        <v>30</v>
      </c>
      <c r="B47" s="2">
        <v>44501</v>
      </c>
      <c r="C47" s="2">
        <v>44470</v>
      </c>
      <c r="D47" s="2">
        <v>44579</v>
      </c>
      <c r="E47">
        <v>24441292</v>
      </c>
      <c r="F47">
        <v>24386765</v>
      </c>
      <c r="G47">
        <v>-54527</v>
      </c>
      <c r="H47">
        <v>86.7</v>
      </c>
      <c r="I47">
        <v>50000</v>
      </c>
      <c r="J47" t="s">
        <v>29</v>
      </c>
      <c r="K47">
        <v>4.47</v>
      </c>
      <c r="L47">
        <v>4.5199999999999996</v>
      </c>
      <c r="M47">
        <v>9748438</v>
      </c>
      <c r="N47">
        <v>9813893</v>
      </c>
      <c r="O47">
        <v>0</v>
      </c>
      <c r="P47">
        <v>0</v>
      </c>
      <c r="Q47">
        <v>2844345</v>
      </c>
      <c r="R47">
        <v>2808749</v>
      </c>
      <c r="S47">
        <v>3111491</v>
      </c>
      <c r="T47">
        <v>3127340</v>
      </c>
      <c r="U47">
        <v>0</v>
      </c>
      <c r="V47">
        <v>0</v>
      </c>
      <c r="W47">
        <v>0</v>
      </c>
      <c r="X47">
        <v>0</v>
      </c>
      <c r="Y47">
        <v>8737018</v>
      </c>
      <c r="Z47">
        <v>8636783</v>
      </c>
      <c r="AA47">
        <f t="shared" si="1"/>
        <v>-35596</v>
      </c>
      <c r="AB47">
        <f t="shared" si="0"/>
        <v>-1.2514656274115834</v>
      </c>
    </row>
    <row r="48" spans="1:28">
      <c r="A48" t="s">
        <v>31</v>
      </c>
      <c r="B48" s="2">
        <v>44501</v>
      </c>
      <c r="C48" s="2">
        <v>44470</v>
      </c>
      <c r="D48" s="2">
        <v>44579</v>
      </c>
      <c r="E48">
        <v>86659277</v>
      </c>
      <c r="F48">
        <v>87041746</v>
      </c>
      <c r="G48">
        <v>382469</v>
      </c>
      <c r="H48">
        <v>87.54</v>
      </c>
      <c r="I48">
        <v>500000</v>
      </c>
      <c r="J48" t="s">
        <v>29</v>
      </c>
      <c r="K48">
        <v>31.54</v>
      </c>
      <c r="L48">
        <v>32.04</v>
      </c>
      <c r="M48">
        <v>36102624</v>
      </c>
      <c r="N48">
        <v>36212977</v>
      </c>
      <c r="O48">
        <v>0</v>
      </c>
      <c r="P48">
        <v>0</v>
      </c>
      <c r="Q48">
        <v>10877621</v>
      </c>
      <c r="R48">
        <v>10747890</v>
      </c>
      <c r="S48">
        <v>5495516</v>
      </c>
      <c r="T48">
        <v>5453955</v>
      </c>
      <c r="U48">
        <v>0</v>
      </c>
      <c r="V48">
        <v>0</v>
      </c>
      <c r="W48">
        <v>0</v>
      </c>
      <c r="X48">
        <v>0</v>
      </c>
      <c r="Y48">
        <v>34183516</v>
      </c>
      <c r="Z48">
        <v>34626924</v>
      </c>
      <c r="AA48">
        <f t="shared" si="1"/>
        <v>-129731</v>
      </c>
      <c r="AB48">
        <f t="shared" si="0"/>
        <v>-1.1926412953714787</v>
      </c>
    </row>
    <row r="49" spans="1:28">
      <c r="A49" t="s">
        <v>32</v>
      </c>
      <c r="B49" s="2">
        <v>44501</v>
      </c>
      <c r="C49" s="2">
        <v>44470</v>
      </c>
      <c r="D49" s="2">
        <v>44579</v>
      </c>
      <c r="E49">
        <v>52556010</v>
      </c>
      <c r="F49">
        <v>52484010</v>
      </c>
      <c r="G49">
        <v>-72000</v>
      </c>
      <c r="H49">
        <v>72.56</v>
      </c>
      <c r="I49">
        <v>350000</v>
      </c>
      <c r="J49" t="s">
        <v>29</v>
      </c>
      <c r="K49">
        <v>31.48</v>
      </c>
      <c r="L49">
        <v>31.83</v>
      </c>
      <c r="M49">
        <v>15814431</v>
      </c>
      <c r="N49">
        <v>15876083</v>
      </c>
      <c r="O49">
        <v>320</v>
      </c>
      <c r="P49">
        <v>250</v>
      </c>
      <c r="Q49">
        <v>15774846</v>
      </c>
      <c r="R49">
        <v>15823733</v>
      </c>
      <c r="S49">
        <v>0</v>
      </c>
      <c r="T49">
        <v>0</v>
      </c>
      <c r="U49">
        <v>0</v>
      </c>
      <c r="V49">
        <v>0</v>
      </c>
      <c r="W49">
        <v>2154926</v>
      </c>
      <c r="X49">
        <v>2154158</v>
      </c>
      <c r="Y49">
        <v>18811487</v>
      </c>
      <c r="Z49">
        <v>18629786</v>
      </c>
      <c r="AA49">
        <f t="shared" si="1"/>
        <v>48887</v>
      </c>
      <c r="AB49">
        <f t="shared" si="0"/>
        <v>0.30990476864243238</v>
      </c>
    </row>
    <row r="50" spans="1:28">
      <c r="A50" t="s">
        <v>33</v>
      </c>
      <c r="B50" s="2">
        <v>44501</v>
      </c>
      <c r="C50" s="2">
        <v>44470</v>
      </c>
      <c r="D50" s="2">
        <v>44579</v>
      </c>
      <c r="E50">
        <v>68712262</v>
      </c>
      <c r="F50">
        <v>68690269</v>
      </c>
      <c r="G50">
        <v>-21993</v>
      </c>
      <c r="H50">
        <v>89.66</v>
      </c>
      <c r="I50">
        <v>410000</v>
      </c>
      <c r="J50" t="s">
        <v>29</v>
      </c>
      <c r="K50">
        <v>43.62</v>
      </c>
      <c r="L50">
        <v>44.03</v>
      </c>
      <c r="M50">
        <v>11743743</v>
      </c>
      <c r="N50">
        <v>11700880</v>
      </c>
      <c r="O50">
        <v>166</v>
      </c>
      <c r="P50">
        <v>142</v>
      </c>
      <c r="Q50">
        <v>24206672</v>
      </c>
      <c r="R50">
        <v>24075093</v>
      </c>
      <c r="S50">
        <v>5590010</v>
      </c>
      <c r="T50">
        <v>5558866</v>
      </c>
      <c r="U50">
        <v>0</v>
      </c>
      <c r="V50">
        <v>0</v>
      </c>
      <c r="W50">
        <v>0</v>
      </c>
      <c r="X50">
        <v>0</v>
      </c>
      <c r="Y50">
        <v>27171671</v>
      </c>
      <c r="Z50">
        <v>27355288</v>
      </c>
      <c r="AA50">
        <f t="shared" si="1"/>
        <v>-131579</v>
      </c>
      <c r="AB50">
        <f t="shared" si="0"/>
        <v>-0.54356501381106825</v>
      </c>
    </row>
    <row r="51" spans="1:28">
      <c r="A51" t="s">
        <v>34</v>
      </c>
      <c r="B51" s="2">
        <v>44501</v>
      </c>
      <c r="C51" s="2">
        <v>44470</v>
      </c>
      <c r="D51" s="2">
        <v>44579</v>
      </c>
      <c r="E51">
        <v>27996591</v>
      </c>
      <c r="F51">
        <v>27860123</v>
      </c>
      <c r="G51">
        <v>-136468</v>
      </c>
      <c r="H51">
        <v>87.86</v>
      </c>
      <c r="I51">
        <v>170000</v>
      </c>
      <c r="J51" t="s">
        <v>29</v>
      </c>
      <c r="K51">
        <v>21.48</v>
      </c>
      <c r="L51">
        <v>21.65</v>
      </c>
      <c r="M51">
        <v>5682781</v>
      </c>
      <c r="N51">
        <v>5702016</v>
      </c>
      <c r="O51">
        <v>47</v>
      </c>
      <c r="P51">
        <v>19</v>
      </c>
      <c r="Q51">
        <v>7962609</v>
      </c>
      <c r="R51">
        <v>7896091</v>
      </c>
      <c r="S51">
        <v>4986044</v>
      </c>
      <c r="T51">
        <v>4962800</v>
      </c>
      <c r="U51">
        <v>0</v>
      </c>
      <c r="V51">
        <v>0</v>
      </c>
      <c r="W51">
        <v>0</v>
      </c>
      <c r="X51">
        <v>0</v>
      </c>
      <c r="Y51">
        <v>9365110</v>
      </c>
      <c r="Z51">
        <v>9299197</v>
      </c>
      <c r="AA51">
        <f t="shared" si="1"/>
        <v>-66518</v>
      </c>
      <c r="AB51">
        <f t="shared" si="0"/>
        <v>-0.83537945916972689</v>
      </c>
    </row>
    <row r="52" spans="1:28">
      <c r="A52" t="s">
        <v>35</v>
      </c>
      <c r="B52" s="2">
        <v>44501</v>
      </c>
      <c r="C52" s="2">
        <v>44470</v>
      </c>
      <c r="D52" s="2">
        <v>44579</v>
      </c>
      <c r="E52">
        <v>10406150</v>
      </c>
      <c r="F52">
        <v>10461197</v>
      </c>
      <c r="G52">
        <v>55047</v>
      </c>
      <c r="H52">
        <v>102.04</v>
      </c>
      <c r="I52">
        <v>20000</v>
      </c>
      <c r="J52" t="s">
        <v>29</v>
      </c>
      <c r="K52">
        <v>2.96</v>
      </c>
      <c r="L52">
        <v>2.98</v>
      </c>
      <c r="M52">
        <v>3323832</v>
      </c>
      <c r="N52">
        <v>3328678</v>
      </c>
      <c r="O52">
        <v>93</v>
      </c>
      <c r="P52">
        <v>93</v>
      </c>
      <c r="Q52">
        <v>597924</v>
      </c>
      <c r="R52">
        <v>589772</v>
      </c>
      <c r="S52">
        <v>2705274</v>
      </c>
      <c r="T52">
        <v>2710918</v>
      </c>
      <c r="U52">
        <v>0</v>
      </c>
      <c r="V52">
        <v>0</v>
      </c>
      <c r="W52">
        <v>0</v>
      </c>
      <c r="X52">
        <v>0</v>
      </c>
      <c r="Y52">
        <v>3779027</v>
      </c>
      <c r="Z52">
        <v>3831736</v>
      </c>
      <c r="AA52">
        <f t="shared" si="1"/>
        <v>-8152</v>
      </c>
      <c r="AB52">
        <f t="shared" si="0"/>
        <v>-1.3633839752209311</v>
      </c>
    </row>
    <row r="53" spans="1:28">
      <c r="A53" t="s">
        <v>36</v>
      </c>
      <c r="B53" s="2">
        <v>44501</v>
      </c>
      <c r="C53" s="2">
        <v>44470</v>
      </c>
      <c r="D53" s="2">
        <v>44579</v>
      </c>
      <c r="E53">
        <v>11658647</v>
      </c>
      <c r="F53">
        <v>11752316</v>
      </c>
      <c r="G53">
        <v>93669</v>
      </c>
      <c r="H53">
        <v>77.5</v>
      </c>
      <c r="I53">
        <v>20000</v>
      </c>
      <c r="J53" t="s">
        <v>29</v>
      </c>
      <c r="K53">
        <v>1.42</v>
      </c>
      <c r="L53">
        <v>1.44</v>
      </c>
      <c r="M53">
        <v>5506324</v>
      </c>
      <c r="N53">
        <v>5513815</v>
      </c>
      <c r="O53">
        <v>0</v>
      </c>
      <c r="P53">
        <v>0</v>
      </c>
      <c r="Q53">
        <v>446906</v>
      </c>
      <c r="R53">
        <v>490285</v>
      </c>
      <c r="S53">
        <v>1312811</v>
      </c>
      <c r="T53">
        <v>1313545</v>
      </c>
      <c r="U53">
        <v>0</v>
      </c>
      <c r="V53">
        <v>0</v>
      </c>
      <c r="W53">
        <v>0</v>
      </c>
      <c r="X53">
        <v>0</v>
      </c>
      <c r="Y53">
        <v>4392606</v>
      </c>
      <c r="Z53">
        <v>4434671</v>
      </c>
      <c r="AA53">
        <f t="shared" si="1"/>
        <v>43379</v>
      </c>
      <c r="AB53">
        <f t="shared" si="0"/>
        <v>9.7065154641020701</v>
      </c>
    </row>
    <row r="54" spans="1:28">
      <c r="A54" t="s">
        <v>37</v>
      </c>
      <c r="B54" s="2">
        <v>44501</v>
      </c>
      <c r="C54" s="2">
        <v>44470</v>
      </c>
      <c r="D54" s="2">
        <v>44579</v>
      </c>
      <c r="E54">
        <v>66713321</v>
      </c>
      <c r="F54">
        <v>66611282</v>
      </c>
      <c r="G54">
        <v>-102039</v>
      </c>
      <c r="H54">
        <v>84.11</v>
      </c>
      <c r="I54">
        <v>380000</v>
      </c>
      <c r="J54" t="s">
        <v>29</v>
      </c>
      <c r="K54">
        <v>50.89</v>
      </c>
      <c r="L54">
        <v>51.27</v>
      </c>
      <c r="M54">
        <v>30293784</v>
      </c>
      <c r="N54">
        <v>30400959</v>
      </c>
      <c r="O54">
        <v>957</v>
      </c>
      <c r="P54">
        <v>728</v>
      </c>
      <c r="Q54">
        <v>8456083</v>
      </c>
      <c r="R54">
        <v>8362821</v>
      </c>
      <c r="S54">
        <v>7031492</v>
      </c>
      <c r="T54">
        <v>6953582</v>
      </c>
      <c r="U54">
        <v>0</v>
      </c>
      <c r="V54">
        <v>0</v>
      </c>
      <c r="W54">
        <v>0</v>
      </c>
      <c r="X54">
        <v>0</v>
      </c>
      <c r="Y54">
        <v>20931005</v>
      </c>
      <c r="Z54">
        <v>20893192</v>
      </c>
      <c r="AA54">
        <f t="shared" si="1"/>
        <v>-93262</v>
      </c>
      <c r="AB54">
        <f t="shared" si="0"/>
        <v>-1.1028983513998147</v>
      </c>
    </row>
    <row r="55" spans="1:28">
      <c r="A55" t="s">
        <v>38</v>
      </c>
      <c r="B55" s="2">
        <v>44501</v>
      </c>
      <c r="C55" s="2">
        <v>44470</v>
      </c>
      <c r="D55" s="2">
        <v>44579</v>
      </c>
      <c r="E55">
        <v>44204805</v>
      </c>
      <c r="F55">
        <v>44341325</v>
      </c>
      <c r="G55">
        <v>136520</v>
      </c>
      <c r="H55">
        <v>91.86</v>
      </c>
      <c r="I55">
        <v>230000</v>
      </c>
      <c r="J55" t="s">
        <v>29</v>
      </c>
      <c r="K55">
        <v>17.16</v>
      </c>
      <c r="L55">
        <v>17.39</v>
      </c>
      <c r="M55">
        <v>7461603</v>
      </c>
      <c r="N55">
        <v>7563895</v>
      </c>
      <c r="O55">
        <v>236</v>
      </c>
      <c r="P55">
        <v>187</v>
      </c>
      <c r="Q55">
        <v>16576730</v>
      </c>
      <c r="R55">
        <v>16499736</v>
      </c>
      <c r="S55">
        <v>10720778</v>
      </c>
      <c r="T55">
        <v>10675401</v>
      </c>
      <c r="U55">
        <v>0</v>
      </c>
      <c r="V55">
        <v>0</v>
      </c>
      <c r="W55">
        <v>0</v>
      </c>
      <c r="X55">
        <v>0</v>
      </c>
      <c r="Y55">
        <v>9445458</v>
      </c>
      <c r="Z55">
        <v>9602106</v>
      </c>
      <c r="AA55">
        <f t="shared" si="1"/>
        <v>-76994</v>
      </c>
      <c r="AB55">
        <f t="shared" si="0"/>
        <v>-0.46447037503777888</v>
      </c>
    </row>
    <row r="56" spans="1:28">
      <c r="A56" t="s">
        <v>39</v>
      </c>
      <c r="B56" s="2">
        <v>44501</v>
      </c>
      <c r="C56" s="2">
        <v>44470</v>
      </c>
      <c r="D56" s="2">
        <v>44579</v>
      </c>
      <c r="E56">
        <v>24469323</v>
      </c>
      <c r="F56">
        <v>24399251</v>
      </c>
      <c r="G56">
        <v>-70072</v>
      </c>
      <c r="H56">
        <v>88.24</v>
      </c>
      <c r="I56">
        <v>110000</v>
      </c>
      <c r="J56" t="s">
        <v>29</v>
      </c>
      <c r="K56">
        <v>13.41</v>
      </c>
      <c r="L56">
        <v>13.52</v>
      </c>
      <c r="M56">
        <v>5495417</v>
      </c>
      <c r="N56">
        <v>5495146</v>
      </c>
      <c r="O56">
        <v>18</v>
      </c>
      <c r="P56">
        <v>4</v>
      </c>
      <c r="Q56">
        <v>6402240</v>
      </c>
      <c r="R56">
        <v>6355564</v>
      </c>
      <c r="S56">
        <v>2334289</v>
      </c>
      <c r="T56">
        <v>2236564</v>
      </c>
      <c r="U56">
        <v>0</v>
      </c>
      <c r="V56">
        <v>0</v>
      </c>
      <c r="W56">
        <v>0</v>
      </c>
      <c r="X56">
        <v>0</v>
      </c>
      <c r="Y56">
        <v>10237359</v>
      </c>
      <c r="Z56">
        <v>10311973</v>
      </c>
      <c r="AA56">
        <f t="shared" si="1"/>
        <v>-46676</v>
      </c>
      <c r="AB56">
        <f t="shared" si="0"/>
        <v>-0.72905732993452288</v>
      </c>
    </row>
    <row r="57" spans="1:28">
      <c r="A57" t="s">
        <v>40</v>
      </c>
      <c r="B57" s="2">
        <v>44501</v>
      </c>
      <c r="C57" s="2">
        <v>44470</v>
      </c>
      <c r="D57" s="2">
        <v>44579</v>
      </c>
      <c r="E57">
        <v>79331839</v>
      </c>
      <c r="F57">
        <v>79415899</v>
      </c>
      <c r="G57">
        <v>84060</v>
      </c>
      <c r="H57">
        <v>82.95</v>
      </c>
      <c r="I57">
        <v>600000</v>
      </c>
      <c r="J57" t="s">
        <v>29</v>
      </c>
      <c r="K57">
        <v>46.76</v>
      </c>
      <c r="L57">
        <v>47.36</v>
      </c>
      <c r="M57">
        <v>15447846</v>
      </c>
      <c r="N57">
        <v>15406932</v>
      </c>
      <c r="O57">
        <v>0</v>
      </c>
      <c r="P57">
        <v>0</v>
      </c>
      <c r="Q57">
        <v>20723844</v>
      </c>
      <c r="R57">
        <v>20566331</v>
      </c>
      <c r="S57">
        <v>6005064</v>
      </c>
      <c r="T57">
        <v>5967668</v>
      </c>
      <c r="U57">
        <v>0</v>
      </c>
      <c r="V57">
        <v>0</v>
      </c>
      <c r="W57">
        <v>0</v>
      </c>
      <c r="X57">
        <v>0</v>
      </c>
      <c r="Y57">
        <v>37155085</v>
      </c>
      <c r="Z57">
        <v>37474968</v>
      </c>
      <c r="AA57">
        <f t="shared" si="1"/>
        <v>-157513</v>
      </c>
      <c r="AB57">
        <f t="shared" si="0"/>
        <v>-0.76005686975833242</v>
      </c>
    </row>
    <row r="58" spans="1:28">
      <c r="A58" t="s">
        <v>41</v>
      </c>
      <c r="B58" s="2">
        <v>44501</v>
      </c>
      <c r="C58" s="2">
        <v>44470</v>
      </c>
      <c r="D58" s="2">
        <v>44579</v>
      </c>
      <c r="E58">
        <v>94225071</v>
      </c>
      <c r="F58">
        <v>94330535</v>
      </c>
      <c r="G58">
        <v>105464</v>
      </c>
      <c r="H58">
        <v>89.77</v>
      </c>
      <c r="I58">
        <v>660000</v>
      </c>
      <c r="J58" t="s">
        <v>29</v>
      </c>
      <c r="K58">
        <v>53.36</v>
      </c>
      <c r="L58">
        <v>54.02</v>
      </c>
      <c r="M58">
        <v>20181990</v>
      </c>
      <c r="N58">
        <v>20236300</v>
      </c>
      <c r="O58">
        <v>0</v>
      </c>
      <c r="P58">
        <v>0</v>
      </c>
      <c r="Q58">
        <v>29030093</v>
      </c>
      <c r="R58">
        <v>28900729</v>
      </c>
      <c r="S58">
        <v>6624339</v>
      </c>
      <c r="T58">
        <v>6594366</v>
      </c>
      <c r="U58">
        <v>0</v>
      </c>
      <c r="V58">
        <v>0</v>
      </c>
      <c r="W58">
        <v>0</v>
      </c>
      <c r="X58">
        <v>0</v>
      </c>
      <c r="Y58">
        <v>38388649</v>
      </c>
      <c r="Z58">
        <v>38599140</v>
      </c>
      <c r="AA58">
        <f t="shared" si="1"/>
        <v>-129364</v>
      </c>
      <c r="AB58">
        <f t="shared" si="0"/>
        <v>-0.44562034300062353</v>
      </c>
    </row>
    <row r="59" spans="1:28">
      <c r="A59" t="s">
        <v>42</v>
      </c>
      <c r="B59" s="2">
        <v>44501</v>
      </c>
      <c r="C59" s="2">
        <v>44470</v>
      </c>
      <c r="D59" s="2">
        <v>44579</v>
      </c>
      <c r="E59">
        <v>35242720</v>
      </c>
      <c r="F59">
        <v>35205420</v>
      </c>
      <c r="G59">
        <v>-37300</v>
      </c>
      <c r="H59">
        <v>70.3</v>
      </c>
      <c r="I59">
        <v>140000</v>
      </c>
      <c r="J59" t="s">
        <v>29</v>
      </c>
      <c r="K59">
        <v>26.64</v>
      </c>
      <c r="L59">
        <v>26.78</v>
      </c>
      <c r="M59">
        <v>9416692</v>
      </c>
      <c r="N59">
        <v>9426690</v>
      </c>
      <c r="O59">
        <v>2097</v>
      </c>
      <c r="P59">
        <v>2020</v>
      </c>
      <c r="Q59">
        <v>11620995</v>
      </c>
      <c r="R59">
        <v>11603364</v>
      </c>
      <c r="S59">
        <v>0</v>
      </c>
      <c r="T59">
        <v>0</v>
      </c>
      <c r="U59">
        <v>0</v>
      </c>
      <c r="V59">
        <v>0</v>
      </c>
      <c r="W59">
        <v>1110237</v>
      </c>
      <c r="X59">
        <v>1106687</v>
      </c>
      <c r="Y59">
        <v>13092699</v>
      </c>
      <c r="Z59">
        <v>13066659</v>
      </c>
      <c r="AA59">
        <f t="shared" si="1"/>
        <v>-17631</v>
      </c>
      <c r="AB59">
        <f t="shared" si="0"/>
        <v>-0.1517167850085126</v>
      </c>
    </row>
    <row r="60" spans="1:28">
      <c r="A60" t="s">
        <v>43</v>
      </c>
      <c r="B60" s="2">
        <v>44501</v>
      </c>
      <c r="C60" s="2">
        <v>44470</v>
      </c>
      <c r="D60" s="2">
        <v>44579</v>
      </c>
      <c r="E60">
        <v>12054120</v>
      </c>
      <c r="F60">
        <v>12075363</v>
      </c>
      <c r="G60">
        <v>21243</v>
      </c>
      <c r="H60">
        <v>87.3</v>
      </c>
      <c r="I60">
        <v>10000</v>
      </c>
      <c r="J60" t="s">
        <v>29</v>
      </c>
      <c r="K60">
        <v>1.66</v>
      </c>
      <c r="L60">
        <v>1.67</v>
      </c>
      <c r="M60">
        <v>5465771</v>
      </c>
      <c r="N60">
        <v>5504889</v>
      </c>
      <c r="O60">
        <v>0</v>
      </c>
      <c r="P60">
        <v>0</v>
      </c>
      <c r="Q60">
        <v>1247622</v>
      </c>
      <c r="R60">
        <v>1235345</v>
      </c>
      <c r="S60">
        <v>1352550</v>
      </c>
      <c r="T60">
        <v>1350345</v>
      </c>
      <c r="U60">
        <v>0</v>
      </c>
      <c r="V60">
        <v>0</v>
      </c>
      <c r="W60">
        <v>0</v>
      </c>
      <c r="X60">
        <v>0</v>
      </c>
      <c r="Y60">
        <v>3988177</v>
      </c>
      <c r="Z60">
        <v>3984784</v>
      </c>
      <c r="AA60">
        <f t="shared" si="1"/>
        <v>-12277</v>
      </c>
      <c r="AB60">
        <f t="shared" si="0"/>
        <v>-0.98403202251964128</v>
      </c>
    </row>
    <row r="61" spans="1:28">
      <c r="A61" t="s">
        <v>44</v>
      </c>
      <c r="B61" s="2">
        <v>44501</v>
      </c>
      <c r="C61" s="2">
        <v>44470</v>
      </c>
      <c r="D61" s="2">
        <v>44579</v>
      </c>
      <c r="E61">
        <v>33457172</v>
      </c>
      <c r="F61">
        <v>33427104</v>
      </c>
      <c r="G61">
        <v>-30068</v>
      </c>
      <c r="H61">
        <v>89.29</v>
      </c>
      <c r="I61">
        <v>150000</v>
      </c>
      <c r="J61" t="s">
        <v>29</v>
      </c>
      <c r="K61">
        <v>12.51</v>
      </c>
      <c r="L61">
        <v>12.66</v>
      </c>
      <c r="M61">
        <v>10871307</v>
      </c>
      <c r="N61">
        <v>10986849</v>
      </c>
      <c r="O61">
        <v>111</v>
      </c>
      <c r="P61">
        <v>74</v>
      </c>
      <c r="Q61">
        <v>2033600</v>
      </c>
      <c r="R61">
        <v>2031253</v>
      </c>
      <c r="S61">
        <v>6277613</v>
      </c>
      <c r="T61">
        <v>6246307</v>
      </c>
      <c r="U61">
        <v>0</v>
      </c>
      <c r="V61">
        <v>0</v>
      </c>
      <c r="W61">
        <v>0</v>
      </c>
      <c r="X61">
        <v>0</v>
      </c>
      <c r="Y61">
        <v>14274541</v>
      </c>
      <c r="Z61">
        <v>14162621</v>
      </c>
      <c r="AA61">
        <f t="shared" si="1"/>
        <v>-2347</v>
      </c>
      <c r="AB61">
        <f t="shared" si="0"/>
        <v>-0.11541109362706531</v>
      </c>
    </row>
    <row r="62" spans="1:28">
      <c r="A62" t="s">
        <v>45</v>
      </c>
      <c r="B62" s="2">
        <v>44501</v>
      </c>
      <c r="C62" s="2">
        <v>44470</v>
      </c>
      <c r="D62" s="2">
        <v>44579</v>
      </c>
      <c r="E62">
        <v>38137074</v>
      </c>
      <c r="F62">
        <v>38188112</v>
      </c>
      <c r="G62">
        <v>51038</v>
      </c>
      <c r="H62">
        <v>82.28</v>
      </c>
      <c r="I62">
        <v>190000</v>
      </c>
      <c r="J62" t="s">
        <v>29</v>
      </c>
      <c r="K62">
        <v>24.03</v>
      </c>
      <c r="L62">
        <v>24.22</v>
      </c>
      <c r="M62">
        <v>11477678</v>
      </c>
      <c r="N62">
        <v>11576445</v>
      </c>
      <c r="O62">
        <v>183</v>
      </c>
      <c r="P62">
        <v>134</v>
      </c>
      <c r="Q62">
        <v>9004580</v>
      </c>
      <c r="R62">
        <v>8932142</v>
      </c>
      <c r="S62">
        <v>5357459</v>
      </c>
      <c r="T62">
        <v>5307331</v>
      </c>
      <c r="U62">
        <v>0</v>
      </c>
      <c r="V62">
        <v>0</v>
      </c>
      <c r="W62">
        <v>0</v>
      </c>
      <c r="X62">
        <v>0</v>
      </c>
      <c r="Y62">
        <v>12297174</v>
      </c>
      <c r="Z62">
        <v>12372060</v>
      </c>
      <c r="AA62">
        <f t="shared" si="1"/>
        <v>-72438</v>
      </c>
      <c r="AB62">
        <f t="shared" si="0"/>
        <v>-0.80445728729157828</v>
      </c>
    </row>
    <row r="63" spans="1:28">
      <c r="A63" t="s">
        <v>46</v>
      </c>
      <c r="B63" s="2">
        <v>44501</v>
      </c>
      <c r="C63" s="2">
        <v>44470</v>
      </c>
      <c r="D63" s="2">
        <v>44579</v>
      </c>
      <c r="E63">
        <v>64713598</v>
      </c>
      <c r="F63">
        <v>64889528</v>
      </c>
      <c r="G63">
        <v>175930</v>
      </c>
      <c r="H63">
        <v>91.88</v>
      </c>
      <c r="I63">
        <v>440000</v>
      </c>
      <c r="J63" t="s">
        <v>29</v>
      </c>
      <c r="K63">
        <v>46.5</v>
      </c>
      <c r="L63">
        <v>46.94</v>
      </c>
      <c r="M63">
        <v>21513959</v>
      </c>
      <c r="N63">
        <v>21506066</v>
      </c>
      <c r="O63">
        <v>207</v>
      </c>
      <c r="P63">
        <v>162</v>
      </c>
      <c r="Q63">
        <v>11557027</v>
      </c>
      <c r="R63">
        <v>11512840</v>
      </c>
      <c r="S63">
        <v>6103323</v>
      </c>
      <c r="T63">
        <v>6178117</v>
      </c>
      <c r="U63">
        <v>0</v>
      </c>
      <c r="V63">
        <v>0</v>
      </c>
      <c r="W63">
        <v>0</v>
      </c>
      <c r="X63">
        <v>0</v>
      </c>
      <c r="Y63">
        <v>25539082</v>
      </c>
      <c r="Z63">
        <v>25692343</v>
      </c>
      <c r="AA63">
        <f t="shared" si="1"/>
        <v>-44187</v>
      </c>
      <c r="AB63">
        <f t="shared" si="0"/>
        <v>-0.38233881429886768</v>
      </c>
    </row>
    <row r="64" spans="1:28">
      <c r="A64" t="s">
        <v>47</v>
      </c>
      <c r="B64" s="2">
        <v>44501</v>
      </c>
      <c r="C64" s="2">
        <v>44470</v>
      </c>
      <c r="D64" s="2">
        <v>44579</v>
      </c>
      <c r="E64">
        <v>81264116</v>
      </c>
      <c r="F64">
        <v>81497079</v>
      </c>
      <c r="G64">
        <v>232963</v>
      </c>
      <c r="H64">
        <v>94.19</v>
      </c>
      <c r="I64">
        <v>360000</v>
      </c>
      <c r="J64" t="s">
        <v>29</v>
      </c>
      <c r="K64">
        <v>47.63</v>
      </c>
      <c r="L64">
        <v>47.99</v>
      </c>
      <c r="M64">
        <v>27665088</v>
      </c>
      <c r="N64">
        <v>27848022</v>
      </c>
      <c r="O64">
        <v>389</v>
      </c>
      <c r="P64">
        <v>328</v>
      </c>
      <c r="Q64">
        <v>18267793</v>
      </c>
      <c r="R64">
        <v>18157872</v>
      </c>
      <c r="S64">
        <v>9875338</v>
      </c>
      <c r="T64">
        <v>9932629</v>
      </c>
      <c r="U64">
        <v>56318</v>
      </c>
      <c r="V64">
        <v>59984</v>
      </c>
      <c r="W64">
        <v>0</v>
      </c>
      <c r="X64">
        <v>0</v>
      </c>
      <c r="Y64">
        <v>25399190</v>
      </c>
      <c r="Z64">
        <v>25498244</v>
      </c>
      <c r="AA64">
        <f t="shared" si="1"/>
        <v>-109921</v>
      </c>
      <c r="AB64">
        <f t="shared" si="0"/>
        <v>-0.60172019685136569</v>
      </c>
    </row>
    <row r="65" spans="1:28">
      <c r="A65" t="s">
        <v>48</v>
      </c>
      <c r="B65" s="2">
        <v>44501</v>
      </c>
      <c r="C65" s="2">
        <v>44470</v>
      </c>
      <c r="D65" s="2">
        <v>44579</v>
      </c>
      <c r="E65">
        <v>102113722</v>
      </c>
      <c r="F65">
        <v>101805506</v>
      </c>
      <c r="G65">
        <v>-308216</v>
      </c>
      <c r="H65">
        <v>88.14</v>
      </c>
      <c r="I65">
        <v>940000</v>
      </c>
      <c r="J65" t="s">
        <v>29</v>
      </c>
      <c r="K65">
        <v>47.24</v>
      </c>
      <c r="L65">
        <v>48.18</v>
      </c>
      <c r="M65">
        <v>36457063</v>
      </c>
      <c r="N65">
        <v>36545014</v>
      </c>
      <c r="O65">
        <v>0</v>
      </c>
      <c r="P65">
        <v>0</v>
      </c>
      <c r="Q65">
        <v>21051817</v>
      </c>
      <c r="R65">
        <v>20548863</v>
      </c>
      <c r="S65">
        <v>11123371</v>
      </c>
      <c r="T65">
        <v>11120915</v>
      </c>
      <c r="U65">
        <v>0</v>
      </c>
      <c r="V65">
        <v>0</v>
      </c>
      <c r="W65">
        <v>0</v>
      </c>
      <c r="X65">
        <v>0</v>
      </c>
      <c r="Y65">
        <v>33481471</v>
      </c>
      <c r="Z65">
        <v>33590714</v>
      </c>
      <c r="AA65">
        <f t="shared" si="1"/>
        <v>-502954</v>
      </c>
      <c r="AB65">
        <f t="shared" si="0"/>
        <v>-2.3891239411780942</v>
      </c>
    </row>
    <row r="66" spans="1:28">
      <c r="A66" t="s">
        <v>49</v>
      </c>
      <c r="B66" s="2">
        <v>44501</v>
      </c>
      <c r="C66" s="2">
        <v>44470</v>
      </c>
      <c r="D66" s="2">
        <v>44579</v>
      </c>
      <c r="E66">
        <v>64610611</v>
      </c>
      <c r="F66">
        <v>64922314</v>
      </c>
      <c r="G66">
        <v>311703</v>
      </c>
      <c r="H66">
        <v>86.78</v>
      </c>
      <c r="I66">
        <v>650000</v>
      </c>
      <c r="J66" t="s">
        <v>29</v>
      </c>
      <c r="K66">
        <v>37.76</v>
      </c>
      <c r="L66">
        <v>38.409999999999997</v>
      </c>
      <c r="M66">
        <v>17939539</v>
      </c>
      <c r="N66">
        <v>18068668</v>
      </c>
      <c r="O66">
        <v>108</v>
      </c>
      <c r="P66">
        <v>27</v>
      </c>
      <c r="Q66">
        <v>19271089</v>
      </c>
      <c r="R66">
        <v>19123461</v>
      </c>
      <c r="S66">
        <v>5668625</v>
      </c>
      <c r="T66">
        <v>5651015</v>
      </c>
      <c r="U66">
        <v>0</v>
      </c>
      <c r="V66">
        <v>0</v>
      </c>
      <c r="W66">
        <v>0</v>
      </c>
      <c r="X66">
        <v>0</v>
      </c>
      <c r="Y66">
        <v>21731250</v>
      </c>
      <c r="Z66">
        <v>22079143</v>
      </c>
      <c r="AA66">
        <f t="shared" si="1"/>
        <v>-147628</v>
      </c>
      <c r="AB66">
        <f t="shared" si="0"/>
        <v>-0.76605945829008415</v>
      </c>
    </row>
    <row r="67" spans="1:28">
      <c r="A67" t="s">
        <v>50</v>
      </c>
      <c r="B67" s="2">
        <v>44501</v>
      </c>
      <c r="C67" s="2">
        <v>44470</v>
      </c>
      <c r="D67" s="2">
        <v>44579</v>
      </c>
      <c r="E67">
        <v>57239121</v>
      </c>
      <c r="F67">
        <v>57480486</v>
      </c>
      <c r="G67">
        <v>241365</v>
      </c>
      <c r="H67">
        <v>87.26</v>
      </c>
      <c r="I67">
        <v>480000</v>
      </c>
      <c r="J67" t="s">
        <v>29</v>
      </c>
      <c r="K67">
        <v>33.92</v>
      </c>
      <c r="L67">
        <v>34.4</v>
      </c>
      <c r="M67">
        <v>15252023</v>
      </c>
      <c r="N67">
        <v>15282211</v>
      </c>
      <c r="O67">
        <v>472</v>
      </c>
      <c r="P67">
        <v>366</v>
      </c>
      <c r="Q67">
        <v>16482187</v>
      </c>
      <c r="R67">
        <v>16449885</v>
      </c>
      <c r="S67">
        <v>2587936</v>
      </c>
      <c r="T67">
        <v>2607548</v>
      </c>
      <c r="U67">
        <v>0</v>
      </c>
      <c r="V67">
        <v>0</v>
      </c>
      <c r="W67">
        <v>0</v>
      </c>
      <c r="X67">
        <v>0</v>
      </c>
      <c r="Y67">
        <v>22916503</v>
      </c>
      <c r="Z67">
        <v>23140476</v>
      </c>
      <c r="AA67">
        <f t="shared" si="1"/>
        <v>-32302</v>
      </c>
      <c r="AB67">
        <f t="shared" ref="AB67:AB130" si="2">(($R67-$Q67)/$Q67)*100</f>
        <v>-0.19598127360161607</v>
      </c>
    </row>
    <row r="68" spans="1:28">
      <c r="A68" t="s">
        <v>28</v>
      </c>
      <c r="B68" s="2">
        <v>44531</v>
      </c>
      <c r="C68" s="2">
        <v>44501</v>
      </c>
      <c r="D68" s="2">
        <v>44609</v>
      </c>
      <c r="E68">
        <v>86233103</v>
      </c>
      <c r="F68">
        <v>84911228</v>
      </c>
      <c r="G68">
        <v>-1321875</v>
      </c>
      <c r="H68">
        <v>89.82</v>
      </c>
      <c r="I68">
        <v>470000</v>
      </c>
      <c r="J68" t="s">
        <v>29</v>
      </c>
      <c r="K68">
        <v>49.57</v>
      </c>
      <c r="L68">
        <v>50.04</v>
      </c>
      <c r="M68">
        <v>31298106</v>
      </c>
      <c r="N68">
        <v>31441078</v>
      </c>
      <c r="O68">
        <v>0</v>
      </c>
      <c r="P68">
        <v>0</v>
      </c>
      <c r="Q68">
        <v>14417213</v>
      </c>
      <c r="R68">
        <v>14241991</v>
      </c>
      <c r="S68">
        <v>9182467</v>
      </c>
      <c r="T68">
        <v>9250321</v>
      </c>
      <c r="U68">
        <v>0</v>
      </c>
      <c r="V68">
        <v>0</v>
      </c>
      <c r="W68">
        <v>0</v>
      </c>
      <c r="X68">
        <v>0</v>
      </c>
      <c r="Y68">
        <v>31335317</v>
      </c>
      <c r="Z68">
        <v>29977838</v>
      </c>
      <c r="AA68">
        <f t="shared" ref="AA68:AA131" si="3">$R68-$Q68</f>
        <v>-175222</v>
      </c>
      <c r="AB68">
        <f t="shared" si="2"/>
        <v>-1.2153666592842873</v>
      </c>
    </row>
    <row r="69" spans="1:28">
      <c r="A69" t="s">
        <v>30</v>
      </c>
      <c r="B69" s="2">
        <v>44531</v>
      </c>
      <c r="C69" s="2">
        <v>44501</v>
      </c>
      <c r="D69" s="2">
        <v>44609</v>
      </c>
      <c r="E69">
        <v>24386765</v>
      </c>
      <c r="F69">
        <v>24233633</v>
      </c>
      <c r="G69">
        <v>-153132</v>
      </c>
      <c r="H69">
        <v>87.38</v>
      </c>
      <c r="I69">
        <v>60000</v>
      </c>
      <c r="J69" t="s">
        <v>29</v>
      </c>
      <c r="K69">
        <v>4.5199999999999996</v>
      </c>
      <c r="L69">
        <v>4.58</v>
      </c>
      <c r="M69">
        <v>9813893</v>
      </c>
      <c r="N69">
        <v>9863684</v>
      </c>
      <c r="O69">
        <v>0</v>
      </c>
      <c r="P69">
        <v>0</v>
      </c>
      <c r="Q69">
        <v>2808749</v>
      </c>
      <c r="R69">
        <v>2751705</v>
      </c>
      <c r="S69">
        <v>3127340</v>
      </c>
      <c r="T69">
        <v>3148812</v>
      </c>
      <c r="U69">
        <v>0</v>
      </c>
      <c r="V69">
        <v>0</v>
      </c>
      <c r="W69">
        <v>0</v>
      </c>
      <c r="X69">
        <v>0</v>
      </c>
      <c r="Y69">
        <v>8636783</v>
      </c>
      <c r="Z69">
        <v>8469432</v>
      </c>
      <c r="AA69">
        <f t="shared" si="3"/>
        <v>-57044</v>
      </c>
      <c r="AB69">
        <f t="shared" si="2"/>
        <v>-2.030939752893548</v>
      </c>
    </row>
    <row r="70" spans="1:28">
      <c r="A70" t="s">
        <v>31</v>
      </c>
      <c r="B70" s="2">
        <v>44531</v>
      </c>
      <c r="C70" s="2">
        <v>44501</v>
      </c>
      <c r="D70" s="2">
        <v>44609</v>
      </c>
      <c r="E70">
        <v>87041746</v>
      </c>
      <c r="F70">
        <v>87414851</v>
      </c>
      <c r="G70">
        <v>373105</v>
      </c>
      <c r="H70">
        <v>82.42</v>
      </c>
      <c r="I70">
        <v>560000</v>
      </c>
      <c r="J70" t="s">
        <v>29</v>
      </c>
      <c r="K70">
        <v>32.04</v>
      </c>
      <c r="L70">
        <v>32.6</v>
      </c>
      <c r="M70">
        <v>36212977</v>
      </c>
      <c r="N70">
        <v>36617800</v>
      </c>
      <c r="O70">
        <v>0</v>
      </c>
      <c r="P70">
        <v>0</v>
      </c>
      <c r="Q70">
        <v>10747890</v>
      </c>
      <c r="R70">
        <v>10577260</v>
      </c>
      <c r="S70">
        <v>5453955</v>
      </c>
      <c r="T70">
        <v>6055483</v>
      </c>
      <c r="U70">
        <v>0</v>
      </c>
      <c r="V70">
        <v>0</v>
      </c>
      <c r="W70">
        <v>0</v>
      </c>
      <c r="X70">
        <v>0</v>
      </c>
      <c r="Y70">
        <v>34626924</v>
      </c>
      <c r="Z70">
        <v>34164308</v>
      </c>
      <c r="AA70">
        <f t="shared" si="3"/>
        <v>-170630</v>
      </c>
      <c r="AB70">
        <f t="shared" si="2"/>
        <v>-1.5875674202099201</v>
      </c>
    </row>
    <row r="71" spans="1:28">
      <c r="A71" t="s">
        <v>32</v>
      </c>
      <c r="B71" s="2">
        <v>44531</v>
      </c>
      <c r="C71" s="2">
        <v>44501</v>
      </c>
      <c r="D71" s="2">
        <v>44609</v>
      </c>
      <c r="E71">
        <v>52484010</v>
      </c>
      <c r="F71">
        <v>52595706</v>
      </c>
      <c r="G71">
        <v>111696</v>
      </c>
      <c r="H71">
        <v>74.81</v>
      </c>
      <c r="I71">
        <v>400000</v>
      </c>
      <c r="J71" t="s">
        <v>29</v>
      </c>
      <c r="K71">
        <v>31.83</v>
      </c>
      <c r="L71">
        <v>32.229999999999997</v>
      </c>
      <c r="M71">
        <v>15876083</v>
      </c>
      <c r="N71">
        <v>16083381</v>
      </c>
      <c r="O71">
        <v>250</v>
      </c>
      <c r="P71">
        <v>208</v>
      </c>
      <c r="Q71">
        <v>15823733</v>
      </c>
      <c r="R71">
        <v>15994885</v>
      </c>
      <c r="S71">
        <v>0</v>
      </c>
      <c r="T71">
        <v>0</v>
      </c>
      <c r="U71">
        <v>0</v>
      </c>
      <c r="V71">
        <v>0</v>
      </c>
      <c r="W71">
        <v>2154158</v>
      </c>
      <c r="X71">
        <v>2153573</v>
      </c>
      <c r="Y71">
        <v>18629786</v>
      </c>
      <c r="Z71">
        <v>18363659</v>
      </c>
      <c r="AA71">
        <f t="shared" si="3"/>
        <v>171152</v>
      </c>
      <c r="AB71">
        <f t="shared" si="2"/>
        <v>1.0816158235228059</v>
      </c>
    </row>
    <row r="72" spans="1:28">
      <c r="A72" t="s">
        <v>33</v>
      </c>
      <c r="B72" s="2">
        <v>44531</v>
      </c>
      <c r="C72" s="2">
        <v>44501</v>
      </c>
      <c r="D72" s="2">
        <v>44609</v>
      </c>
      <c r="E72">
        <v>68690269</v>
      </c>
      <c r="F72">
        <v>67474267</v>
      </c>
      <c r="G72">
        <v>-1216002</v>
      </c>
      <c r="H72">
        <v>91.58</v>
      </c>
      <c r="I72">
        <v>520000</v>
      </c>
      <c r="J72" t="s">
        <v>29</v>
      </c>
      <c r="K72">
        <v>44.03</v>
      </c>
      <c r="L72">
        <v>44.55</v>
      </c>
      <c r="M72">
        <v>11700880</v>
      </c>
      <c r="N72">
        <v>11706924</v>
      </c>
      <c r="O72">
        <v>142</v>
      </c>
      <c r="P72">
        <v>109</v>
      </c>
      <c r="Q72">
        <v>24075093</v>
      </c>
      <c r="R72">
        <v>23790340</v>
      </c>
      <c r="S72">
        <v>5558866</v>
      </c>
      <c r="T72">
        <v>5557094</v>
      </c>
      <c r="U72">
        <v>0</v>
      </c>
      <c r="V72">
        <v>0</v>
      </c>
      <c r="W72">
        <v>0</v>
      </c>
      <c r="X72">
        <v>0</v>
      </c>
      <c r="Y72">
        <v>27355288</v>
      </c>
      <c r="Z72">
        <v>26419800</v>
      </c>
      <c r="AA72">
        <f t="shared" si="3"/>
        <v>-284753</v>
      </c>
      <c r="AB72">
        <f t="shared" si="2"/>
        <v>-1.1827700935568557</v>
      </c>
    </row>
    <row r="73" spans="1:28">
      <c r="A73" t="s">
        <v>34</v>
      </c>
      <c r="B73" s="2">
        <v>44531</v>
      </c>
      <c r="C73" s="2">
        <v>44501</v>
      </c>
      <c r="D73" s="2">
        <v>44609</v>
      </c>
      <c r="E73">
        <v>27860123</v>
      </c>
      <c r="F73">
        <v>27644227</v>
      </c>
      <c r="G73">
        <v>-215896</v>
      </c>
      <c r="H73">
        <v>87.9</v>
      </c>
      <c r="I73">
        <v>220000</v>
      </c>
      <c r="J73" t="s">
        <v>29</v>
      </c>
      <c r="K73">
        <v>21.65</v>
      </c>
      <c r="L73">
        <v>21.87</v>
      </c>
      <c r="M73">
        <v>5702016</v>
      </c>
      <c r="N73">
        <v>5758268</v>
      </c>
      <c r="O73">
        <v>19</v>
      </c>
      <c r="P73">
        <v>19</v>
      </c>
      <c r="Q73">
        <v>7896091</v>
      </c>
      <c r="R73">
        <v>7912039</v>
      </c>
      <c r="S73">
        <v>4962800</v>
      </c>
      <c r="T73">
        <v>5008936</v>
      </c>
      <c r="U73">
        <v>0</v>
      </c>
      <c r="V73">
        <v>0</v>
      </c>
      <c r="W73">
        <v>0</v>
      </c>
      <c r="X73">
        <v>0</v>
      </c>
      <c r="Y73">
        <v>9299197</v>
      </c>
      <c r="Z73">
        <v>8964965</v>
      </c>
      <c r="AA73">
        <f t="shared" si="3"/>
        <v>15948</v>
      </c>
      <c r="AB73">
        <f t="shared" si="2"/>
        <v>0.20197335618345838</v>
      </c>
    </row>
    <row r="74" spans="1:28">
      <c r="A74" t="s">
        <v>35</v>
      </c>
      <c r="B74" s="2">
        <v>44531</v>
      </c>
      <c r="C74" s="2">
        <v>44501</v>
      </c>
      <c r="D74" s="2">
        <v>44609</v>
      </c>
      <c r="E74">
        <v>10461197</v>
      </c>
      <c r="F74">
        <v>10345396</v>
      </c>
      <c r="G74">
        <v>-115801</v>
      </c>
      <c r="H74">
        <v>105.23</v>
      </c>
      <c r="I74">
        <v>30000</v>
      </c>
      <c r="J74" t="s">
        <v>29</v>
      </c>
      <c r="K74">
        <v>2.98</v>
      </c>
      <c r="L74">
        <v>3.01</v>
      </c>
      <c r="M74">
        <v>3328678</v>
      </c>
      <c r="N74">
        <v>3346476</v>
      </c>
      <c r="O74">
        <v>93</v>
      </c>
      <c r="P74">
        <v>93</v>
      </c>
      <c r="Q74">
        <v>589772</v>
      </c>
      <c r="R74">
        <v>581906</v>
      </c>
      <c r="S74">
        <v>2710918</v>
      </c>
      <c r="T74">
        <v>2731558</v>
      </c>
      <c r="U74">
        <v>0</v>
      </c>
      <c r="V74">
        <v>0</v>
      </c>
      <c r="W74">
        <v>0</v>
      </c>
      <c r="X74">
        <v>0</v>
      </c>
      <c r="Y74">
        <v>3831736</v>
      </c>
      <c r="Z74">
        <v>3685363</v>
      </c>
      <c r="AA74">
        <f t="shared" si="3"/>
        <v>-7866</v>
      </c>
      <c r="AB74">
        <f t="shared" si="2"/>
        <v>-1.3337357487300177</v>
      </c>
    </row>
    <row r="75" spans="1:28">
      <c r="A75" t="s">
        <v>36</v>
      </c>
      <c r="B75" s="2">
        <v>44531</v>
      </c>
      <c r="C75" s="2">
        <v>44501</v>
      </c>
      <c r="D75" s="2">
        <v>44609</v>
      </c>
      <c r="E75">
        <v>11752316</v>
      </c>
      <c r="F75">
        <v>11800904</v>
      </c>
      <c r="G75">
        <v>48588</v>
      </c>
      <c r="H75">
        <v>81.12</v>
      </c>
      <c r="I75">
        <v>20000</v>
      </c>
      <c r="J75" t="s">
        <v>29</v>
      </c>
      <c r="K75">
        <v>1.44</v>
      </c>
      <c r="L75">
        <v>1.46</v>
      </c>
      <c r="M75">
        <v>5513815</v>
      </c>
      <c r="N75">
        <v>5585762</v>
      </c>
      <c r="O75">
        <v>0</v>
      </c>
      <c r="P75">
        <v>0</v>
      </c>
      <c r="Q75">
        <v>490285</v>
      </c>
      <c r="R75">
        <v>460394</v>
      </c>
      <c r="S75">
        <v>1313545</v>
      </c>
      <c r="T75">
        <v>1314310</v>
      </c>
      <c r="U75">
        <v>0</v>
      </c>
      <c r="V75">
        <v>0</v>
      </c>
      <c r="W75">
        <v>0</v>
      </c>
      <c r="X75">
        <v>0</v>
      </c>
      <c r="Y75">
        <v>4434671</v>
      </c>
      <c r="Z75">
        <v>4440438</v>
      </c>
      <c r="AA75">
        <f t="shared" si="3"/>
        <v>-29891</v>
      </c>
      <c r="AB75">
        <f t="shared" si="2"/>
        <v>-6.0966580662267864</v>
      </c>
    </row>
    <row r="76" spans="1:28">
      <c r="A76" t="s">
        <v>37</v>
      </c>
      <c r="B76" s="2">
        <v>44531</v>
      </c>
      <c r="C76" s="2">
        <v>44501</v>
      </c>
      <c r="D76" s="2">
        <v>44609</v>
      </c>
      <c r="E76">
        <v>66611282</v>
      </c>
      <c r="F76">
        <v>66277628</v>
      </c>
      <c r="G76">
        <v>-333654</v>
      </c>
      <c r="H76">
        <v>84.57</v>
      </c>
      <c r="I76">
        <v>450000</v>
      </c>
      <c r="J76" t="s">
        <v>29</v>
      </c>
      <c r="K76">
        <v>51.27</v>
      </c>
      <c r="L76">
        <v>51.72</v>
      </c>
      <c r="M76">
        <v>30400959</v>
      </c>
      <c r="N76">
        <v>30515006</v>
      </c>
      <c r="O76">
        <v>728</v>
      </c>
      <c r="P76">
        <v>691</v>
      </c>
      <c r="Q76">
        <v>8362821</v>
      </c>
      <c r="R76">
        <v>8249302</v>
      </c>
      <c r="S76">
        <v>6953582</v>
      </c>
      <c r="T76">
        <v>6883854</v>
      </c>
      <c r="U76">
        <v>0</v>
      </c>
      <c r="V76">
        <v>0</v>
      </c>
      <c r="W76">
        <v>0</v>
      </c>
      <c r="X76">
        <v>0</v>
      </c>
      <c r="Y76">
        <v>20893192</v>
      </c>
      <c r="Z76">
        <v>20628775</v>
      </c>
      <c r="AA76">
        <f t="shared" si="3"/>
        <v>-113519</v>
      </c>
      <c r="AB76">
        <f t="shared" si="2"/>
        <v>-1.3574247254604637</v>
      </c>
    </row>
    <row r="77" spans="1:28">
      <c r="A77" t="s">
        <v>38</v>
      </c>
      <c r="B77" s="2">
        <v>44531</v>
      </c>
      <c r="C77" s="2">
        <v>44501</v>
      </c>
      <c r="D77" s="2">
        <v>44609</v>
      </c>
      <c r="E77">
        <v>44341325</v>
      </c>
      <c r="F77">
        <v>44367615</v>
      </c>
      <c r="G77">
        <v>26290</v>
      </c>
      <c r="H77">
        <v>92.03</v>
      </c>
      <c r="I77">
        <v>220000</v>
      </c>
      <c r="J77" t="s">
        <v>29</v>
      </c>
      <c r="K77">
        <v>17.39</v>
      </c>
      <c r="L77">
        <v>17.61</v>
      </c>
      <c r="M77">
        <v>7563895</v>
      </c>
      <c r="N77">
        <v>7655543</v>
      </c>
      <c r="O77">
        <v>187</v>
      </c>
      <c r="P77">
        <v>185</v>
      </c>
      <c r="Q77">
        <v>16499736</v>
      </c>
      <c r="R77">
        <v>16408387</v>
      </c>
      <c r="S77">
        <v>10675401</v>
      </c>
      <c r="T77">
        <v>10713151</v>
      </c>
      <c r="U77">
        <v>0</v>
      </c>
      <c r="V77">
        <v>0</v>
      </c>
      <c r="W77">
        <v>0</v>
      </c>
      <c r="X77">
        <v>0</v>
      </c>
      <c r="Y77">
        <v>9602106</v>
      </c>
      <c r="Z77">
        <v>9590349</v>
      </c>
      <c r="AA77">
        <f t="shared" si="3"/>
        <v>-91349</v>
      </c>
      <c r="AB77">
        <f t="shared" si="2"/>
        <v>-0.55363916125688317</v>
      </c>
    </row>
    <row r="78" spans="1:28">
      <c r="A78" t="s">
        <v>39</v>
      </c>
      <c r="B78" s="2">
        <v>44531</v>
      </c>
      <c r="C78" s="2">
        <v>44501</v>
      </c>
      <c r="D78" s="2">
        <v>44609</v>
      </c>
      <c r="E78">
        <v>24399251</v>
      </c>
      <c r="F78">
        <v>24354989</v>
      </c>
      <c r="G78">
        <v>-44262</v>
      </c>
      <c r="H78">
        <v>88.11</v>
      </c>
      <c r="I78">
        <v>120000</v>
      </c>
      <c r="J78" t="s">
        <v>29</v>
      </c>
      <c r="K78">
        <v>13.52</v>
      </c>
      <c r="L78">
        <v>13.64</v>
      </c>
      <c r="M78">
        <v>5495146</v>
      </c>
      <c r="N78">
        <v>5551034</v>
      </c>
      <c r="O78">
        <v>4</v>
      </c>
      <c r="P78">
        <v>2</v>
      </c>
      <c r="Q78">
        <v>6355564</v>
      </c>
      <c r="R78">
        <v>6313538</v>
      </c>
      <c r="S78">
        <v>2236564</v>
      </c>
      <c r="T78">
        <v>2282912</v>
      </c>
      <c r="U78">
        <v>0</v>
      </c>
      <c r="V78">
        <v>0</v>
      </c>
      <c r="W78">
        <v>0</v>
      </c>
      <c r="X78">
        <v>0</v>
      </c>
      <c r="Y78">
        <v>10311973</v>
      </c>
      <c r="Z78">
        <v>10207503</v>
      </c>
      <c r="AA78">
        <f t="shared" si="3"/>
        <v>-42026</v>
      </c>
      <c r="AB78">
        <f t="shared" si="2"/>
        <v>-0.66124737316782589</v>
      </c>
    </row>
    <row r="79" spans="1:28">
      <c r="A79" t="s">
        <v>40</v>
      </c>
      <c r="B79" s="2">
        <v>44531</v>
      </c>
      <c r="C79" s="2">
        <v>44501</v>
      </c>
      <c r="D79" s="2">
        <v>44609</v>
      </c>
      <c r="E79">
        <v>79415899</v>
      </c>
      <c r="F79">
        <v>77371246</v>
      </c>
      <c r="G79">
        <v>-2044653</v>
      </c>
      <c r="H79">
        <v>82.25</v>
      </c>
      <c r="I79">
        <v>700000</v>
      </c>
      <c r="J79" t="s">
        <v>29</v>
      </c>
      <c r="K79">
        <v>47.36</v>
      </c>
      <c r="L79">
        <v>48.06</v>
      </c>
      <c r="M79">
        <v>15406932</v>
      </c>
      <c r="N79">
        <v>15204073</v>
      </c>
      <c r="O79">
        <v>0</v>
      </c>
      <c r="P79">
        <v>0</v>
      </c>
      <c r="Q79">
        <v>20566331</v>
      </c>
      <c r="R79">
        <v>20461601</v>
      </c>
      <c r="S79">
        <v>5967668</v>
      </c>
      <c r="T79">
        <v>6016461</v>
      </c>
      <c r="U79">
        <v>0</v>
      </c>
      <c r="V79">
        <v>0</v>
      </c>
      <c r="W79">
        <v>0</v>
      </c>
      <c r="X79">
        <v>0</v>
      </c>
      <c r="Y79">
        <v>37474968</v>
      </c>
      <c r="Z79">
        <v>35689111</v>
      </c>
      <c r="AA79">
        <f t="shared" si="3"/>
        <v>-104730</v>
      </c>
      <c r="AB79">
        <f t="shared" si="2"/>
        <v>-0.50923035324093535</v>
      </c>
    </row>
    <row r="80" spans="1:28">
      <c r="A80" t="s">
        <v>41</v>
      </c>
      <c r="B80" s="2">
        <v>44531</v>
      </c>
      <c r="C80" s="2">
        <v>44501</v>
      </c>
      <c r="D80" s="2">
        <v>44609</v>
      </c>
      <c r="E80">
        <v>94330535</v>
      </c>
      <c r="F80">
        <v>92409797</v>
      </c>
      <c r="G80">
        <v>-1920738</v>
      </c>
      <c r="H80">
        <v>89.78</v>
      </c>
      <c r="I80">
        <v>710000</v>
      </c>
      <c r="J80" t="s">
        <v>29</v>
      </c>
      <c r="K80">
        <v>54.02</v>
      </c>
      <c r="L80">
        <v>54.73</v>
      </c>
      <c r="M80">
        <v>20236300</v>
      </c>
      <c r="N80">
        <v>20034296</v>
      </c>
      <c r="O80">
        <v>0</v>
      </c>
      <c r="P80">
        <v>0</v>
      </c>
      <c r="Q80">
        <v>28900729</v>
      </c>
      <c r="R80">
        <v>28665552</v>
      </c>
      <c r="S80">
        <v>6594366</v>
      </c>
      <c r="T80">
        <v>6626836</v>
      </c>
      <c r="U80">
        <v>0</v>
      </c>
      <c r="V80">
        <v>0</v>
      </c>
      <c r="W80">
        <v>0</v>
      </c>
      <c r="X80">
        <v>0</v>
      </c>
      <c r="Y80">
        <v>38599140</v>
      </c>
      <c r="Z80">
        <v>37083113</v>
      </c>
      <c r="AA80">
        <f t="shared" si="3"/>
        <v>-235177</v>
      </c>
      <c r="AB80">
        <f t="shared" si="2"/>
        <v>-0.81374071913549306</v>
      </c>
    </row>
    <row r="81" spans="1:28">
      <c r="A81" t="s">
        <v>42</v>
      </c>
      <c r="B81" s="2">
        <v>44531</v>
      </c>
      <c r="C81" s="2">
        <v>44501</v>
      </c>
      <c r="D81" s="2">
        <v>44609</v>
      </c>
      <c r="E81">
        <v>35205420</v>
      </c>
      <c r="F81">
        <v>34178676</v>
      </c>
      <c r="G81">
        <v>-1026744</v>
      </c>
      <c r="H81">
        <v>70.319999999999993</v>
      </c>
      <c r="I81">
        <v>160000</v>
      </c>
      <c r="J81" t="s">
        <v>29</v>
      </c>
      <c r="K81">
        <v>26.78</v>
      </c>
      <c r="L81">
        <v>26.94</v>
      </c>
      <c r="M81">
        <v>9426690</v>
      </c>
      <c r="N81">
        <v>9457931</v>
      </c>
      <c r="O81">
        <v>2020</v>
      </c>
      <c r="P81">
        <v>1380</v>
      </c>
      <c r="Q81">
        <v>11603364</v>
      </c>
      <c r="R81">
        <v>11587899</v>
      </c>
      <c r="S81">
        <v>0</v>
      </c>
      <c r="T81">
        <v>0</v>
      </c>
      <c r="U81">
        <v>0</v>
      </c>
      <c r="V81">
        <v>0</v>
      </c>
      <c r="W81">
        <v>1106687</v>
      </c>
      <c r="X81">
        <v>1103707</v>
      </c>
      <c r="Y81">
        <v>13066659</v>
      </c>
      <c r="Z81">
        <v>12027759</v>
      </c>
      <c r="AA81">
        <f t="shared" si="3"/>
        <v>-15465</v>
      </c>
      <c r="AB81">
        <f t="shared" si="2"/>
        <v>-0.1332803142261158</v>
      </c>
    </row>
    <row r="82" spans="1:28">
      <c r="A82" t="s">
        <v>43</v>
      </c>
      <c r="B82" s="2">
        <v>44531</v>
      </c>
      <c r="C82" s="2">
        <v>44501</v>
      </c>
      <c r="D82" s="2">
        <v>44609</v>
      </c>
      <c r="E82">
        <v>12075363</v>
      </c>
      <c r="F82">
        <v>12003131</v>
      </c>
      <c r="G82">
        <v>-72232</v>
      </c>
      <c r="H82">
        <v>87.93</v>
      </c>
      <c r="I82">
        <v>20000</v>
      </c>
      <c r="J82" t="s">
        <v>29</v>
      </c>
      <c r="K82">
        <v>1.67</v>
      </c>
      <c r="L82">
        <v>1.69</v>
      </c>
      <c r="M82">
        <v>5504889</v>
      </c>
      <c r="N82">
        <v>5541403</v>
      </c>
      <c r="O82">
        <v>0</v>
      </c>
      <c r="P82">
        <v>0</v>
      </c>
      <c r="Q82">
        <v>1235345</v>
      </c>
      <c r="R82">
        <v>1217071</v>
      </c>
      <c r="S82">
        <v>1350345</v>
      </c>
      <c r="T82">
        <v>1355620</v>
      </c>
      <c r="U82">
        <v>0</v>
      </c>
      <c r="V82">
        <v>0</v>
      </c>
      <c r="W82">
        <v>0</v>
      </c>
      <c r="X82">
        <v>0</v>
      </c>
      <c r="Y82">
        <v>3984784</v>
      </c>
      <c r="Z82">
        <v>3889037</v>
      </c>
      <c r="AA82">
        <f t="shared" si="3"/>
        <v>-18274</v>
      </c>
      <c r="AB82">
        <f t="shared" si="2"/>
        <v>-1.4792628779814545</v>
      </c>
    </row>
    <row r="83" spans="1:28">
      <c r="A83" t="s">
        <v>44</v>
      </c>
      <c r="B83" s="2">
        <v>44531</v>
      </c>
      <c r="C83" s="2">
        <v>44501</v>
      </c>
      <c r="D83" s="2">
        <v>44609</v>
      </c>
      <c r="E83">
        <v>33427104</v>
      </c>
      <c r="F83">
        <v>33175666</v>
      </c>
      <c r="G83">
        <v>-251438</v>
      </c>
      <c r="H83">
        <v>89.81</v>
      </c>
      <c r="I83">
        <v>130000</v>
      </c>
      <c r="J83" t="s">
        <v>29</v>
      </c>
      <c r="K83">
        <v>12.66</v>
      </c>
      <c r="L83">
        <v>12.79</v>
      </c>
      <c r="M83">
        <v>10986849</v>
      </c>
      <c r="N83">
        <v>11054462</v>
      </c>
      <c r="O83">
        <v>74</v>
      </c>
      <c r="P83">
        <v>66</v>
      </c>
      <c r="Q83">
        <v>2031253</v>
      </c>
      <c r="R83">
        <v>2002780</v>
      </c>
      <c r="S83">
        <v>6246307</v>
      </c>
      <c r="T83">
        <v>6230390</v>
      </c>
      <c r="U83">
        <v>0</v>
      </c>
      <c r="V83">
        <v>0</v>
      </c>
      <c r="W83">
        <v>0</v>
      </c>
      <c r="X83">
        <v>0</v>
      </c>
      <c r="Y83">
        <v>14162621</v>
      </c>
      <c r="Z83">
        <v>13887968</v>
      </c>
      <c r="AA83">
        <f t="shared" si="3"/>
        <v>-28473</v>
      </c>
      <c r="AB83">
        <f t="shared" si="2"/>
        <v>-1.4017456220372351</v>
      </c>
    </row>
    <row r="84" spans="1:28">
      <c r="A84" t="s">
        <v>45</v>
      </c>
      <c r="B84" s="2">
        <v>44531</v>
      </c>
      <c r="C84" s="2">
        <v>44501</v>
      </c>
      <c r="D84" s="2">
        <v>44609</v>
      </c>
      <c r="E84">
        <v>38188112</v>
      </c>
      <c r="F84">
        <v>37799706</v>
      </c>
      <c r="G84">
        <v>-388406</v>
      </c>
      <c r="H84">
        <v>82.38</v>
      </c>
      <c r="I84">
        <v>240000</v>
      </c>
      <c r="J84" t="s">
        <v>29</v>
      </c>
      <c r="K84">
        <v>24.22</v>
      </c>
      <c r="L84">
        <v>24.46</v>
      </c>
      <c r="M84">
        <v>11576445</v>
      </c>
      <c r="N84">
        <v>11698618</v>
      </c>
      <c r="O84">
        <v>134</v>
      </c>
      <c r="P84">
        <v>144</v>
      </c>
      <c r="Q84">
        <v>8932142</v>
      </c>
      <c r="R84">
        <v>8871081</v>
      </c>
      <c r="S84">
        <v>5307331</v>
      </c>
      <c r="T84">
        <v>5340564</v>
      </c>
      <c r="U84">
        <v>0</v>
      </c>
      <c r="V84">
        <v>0</v>
      </c>
      <c r="W84">
        <v>0</v>
      </c>
      <c r="X84">
        <v>0</v>
      </c>
      <c r="Y84">
        <v>12372060</v>
      </c>
      <c r="Z84">
        <v>11889299</v>
      </c>
      <c r="AA84">
        <f t="shared" si="3"/>
        <v>-61061</v>
      </c>
      <c r="AB84">
        <f t="shared" si="2"/>
        <v>-0.68360982169786366</v>
      </c>
    </row>
    <row r="85" spans="1:28">
      <c r="A85" t="s">
        <v>46</v>
      </c>
      <c r="B85" s="2">
        <v>44531</v>
      </c>
      <c r="C85" s="2">
        <v>44501</v>
      </c>
      <c r="D85" s="2">
        <v>44609</v>
      </c>
      <c r="E85">
        <v>64889528</v>
      </c>
      <c r="F85">
        <v>63331283</v>
      </c>
      <c r="G85">
        <v>-1558245</v>
      </c>
      <c r="H85">
        <v>90.65</v>
      </c>
      <c r="I85">
        <v>520000</v>
      </c>
      <c r="J85" t="s">
        <v>29</v>
      </c>
      <c r="K85">
        <v>46.94</v>
      </c>
      <c r="L85">
        <v>47.46</v>
      </c>
      <c r="M85">
        <v>21506066</v>
      </c>
      <c r="N85">
        <v>21437654</v>
      </c>
      <c r="O85">
        <v>162</v>
      </c>
      <c r="P85">
        <v>183</v>
      </c>
      <c r="Q85">
        <v>11512840</v>
      </c>
      <c r="R85">
        <v>11463411</v>
      </c>
      <c r="S85">
        <v>6178117</v>
      </c>
      <c r="T85">
        <v>6339200</v>
      </c>
      <c r="U85">
        <v>0</v>
      </c>
      <c r="V85">
        <v>0</v>
      </c>
      <c r="W85">
        <v>0</v>
      </c>
      <c r="X85">
        <v>0</v>
      </c>
      <c r="Y85">
        <v>25692343</v>
      </c>
      <c r="Z85">
        <v>24090835</v>
      </c>
      <c r="AA85">
        <f t="shared" si="3"/>
        <v>-49429</v>
      </c>
      <c r="AB85">
        <f t="shared" si="2"/>
        <v>-0.42933802606481108</v>
      </c>
    </row>
    <row r="86" spans="1:28">
      <c r="A86" t="s">
        <v>47</v>
      </c>
      <c r="B86" s="2">
        <v>44531</v>
      </c>
      <c r="C86" s="2">
        <v>44501</v>
      </c>
      <c r="D86" s="2">
        <v>44609</v>
      </c>
      <c r="E86">
        <v>81497079</v>
      </c>
      <c r="F86">
        <v>80951765</v>
      </c>
      <c r="G86">
        <v>-545314</v>
      </c>
      <c r="H86">
        <v>94.04</v>
      </c>
      <c r="I86">
        <v>430000</v>
      </c>
      <c r="J86" t="s">
        <v>29</v>
      </c>
      <c r="K86">
        <v>47.99</v>
      </c>
      <c r="L86">
        <v>48.42</v>
      </c>
      <c r="M86">
        <v>27848022</v>
      </c>
      <c r="N86">
        <v>28022805</v>
      </c>
      <c r="O86">
        <v>328</v>
      </c>
      <c r="P86">
        <v>317</v>
      </c>
      <c r="Q86">
        <v>18157872</v>
      </c>
      <c r="R86">
        <v>18029076</v>
      </c>
      <c r="S86">
        <v>9932629</v>
      </c>
      <c r="T86">
        <v>9948483</v>
      </c>
      <c r="U86">
        <v>59984</v>
      </c>
      <c r="V86">
        <v>51438</v>
      </c>
      <c r="W86">
        <v>0</v>
      </c>
      <c r="X86">
        <v>0</v>
      </c>
      <c r="Y86">
        <v>25498244</v>
      </c>
      <c r="Z86">
        <v>24899646</v>
      </c>
      <c r="AA86">
        <f t="shared" si="3"/>
        <v>-128796</v>
      </c>
      <c r="AB86">
        <f t="shared" si="2"/>
        <v>-0.70931219253004973</v>
      </c>
    </row>
    <row r="87" spans="1:28">
      <c r="A87" t="s">
        <v>48</v>
      </c>
      <c r="B87" s="2">
        <v>44531</v>
      </c>
      <c r="C87" s="2">
        <v>44501</v>
      </c>
      <c r="D87" s="2">
        <v>44609</v>
      </c>
      <c r="E87">
        <v>101805506</v>
      </c>
      <c r="F87">
        <v>100462602</v>
      </c>
      <c r="G87">
        <v>-1342904</v>
      </c>
      <c r="H87">
        <v>87.52</v>
      </c>
      <c r="I87">
        <v>1240000</v>
      </c>
      <c r="J87" t="s">
        <v>29</v>
      </c>
      <c r="K87">
        <v>48.18</v>
      </c>
      <c r="L87">
        <v>49.42</v>
      </c>
      <c r="M87">
        <v>36545014</v>
      </c>
      <c r="N87">
        <v>35978842</v>
      </c>
      <c r="O87">
        <v>0</v>
      </c>
      <c r="P87">
        <v>0</v>
      </c>
      <c r="Q87">
        <v>20548863</v>
      </c>
      <c r="R87">
        <v>20531856</v>
      </c>
      <c r="S87">
        <v>11120915</v>
      </c>
      <c r="T87">
        <v>11135129</v>
      </c>
      <c r="U87">
        <v>0</v>
      </c>
      <c r="V87">
        <v>0</v>
      </c>
      <c r="W87">
        <v>0</v>
      </c>
      <c r="X87">
        <v>0</v>
      </c>
      <c r="Y87">
        <v>33590714</v>
      </c>
      <c r="Z87">
        <v>32816775</v>
      </c>
      <c r="AA87">
        <f t="shared" si="3"/>
        <v>-17007</v>
      </c>
      <c r="AB87">
        <f t="shared" si="2"/>
        <v>-8.2763703276429457E-2</v>
      </c>
    </row>
    <row r="88" spans="1:28">
      <c r="A88" t="s">
        <v>49</v>
      </c>
      <c r="B88" s="2">
        <v>44531</v>
      </c>
      <c r="C88" s="2">
        <v>44501</v>
      </c>
      <c r="D88" s="2">
        <v>44609</v>
      </c>
      <c r="E88">
        <v>64922314</v>
      </c>
      <c r="F88">
        <v>64206130</v>
      </c>
      <c r="G88">
        <v>-716184</v>
      </c>
      <c r="H88">
        <v>83.43</v>
      </c>
      <c r="I88">
        <v>840000</v>
      </c>
      <c r="J88" t="s">
        <v>29</v>
      </c>
      <c r="K88">
        <v>38.409999999999997</v>
      </c>
      <c r="L88">
        <v>39.25</v>
      </c>
      <c r="M88">
        <v>18068668</v>
      </c>
      <c r="N88">
        <v>17844869</v>
      </c>
      <c r="O88">
        <v>27</v>
      </c>
      <c r="P88">
        <v>21</v>
      </c>
      <c r="Q88">
        <v>19123461</v>
      </c>
      <c r="R88">
        <v>19033068</v>
      </c>
      <c r="S88">
        <v>5651015</v>
      </c>
      <c r="T88">
        <v>5707962</v>
      </c>
      <c r="U88">
        <v>0</v>
      </c>
      <c r="V88">
        <v>0</v>
      </c>
      <c r="W88">
        <v>0</v>
      </c>
      <c r="X88">
        <v>0</v>
      </c>
      <c r="Y88">
        <v>22079143</v>
      </c>
      <c r="Z88">
        <v>21620210</v>
      </c>
      <c r="AA88">
        <f t="shared" si="3"/>
        <v>-90393</v>
      </c>
      <c r="AB88">
        <f t="shared" si="2"/>
        <v>-0.47268117418703653</v>
      </c>
    </row>
    <row r="89" spans="1:28">
      <c r="A89" t="s">
        <v>50</v>
      </c>
      <c r="B89" s="2">
        <v>44531</v>
      </c>
      <c r="C89" s="2">
        <v>44501</v>
      </c>
      <c r="D89" s="2">
        <v>44609</v>
      </c>
      <c r="E89">
        <v>57480486</v>
      </c>
      <c r="F89">
        <v>57309173</v>
      </c>
      <c r="G89">
        <v>-171313</v>
      </c>
      <c r="H89">
        <v>86.27</v>
      </c>
      <c r="I89">
        <v>490000</v>
      </c>
      <c r="J89" t="s">
        <v>29</v>
      </c>
      <c r="K89">
        <v>34.4</v>
      </c>
      <c r="L89">
        <v>34.89</v>
      </c>
      <c r="M89">
        <v>15282211</v>
      </c>
      <c r="N89">
        <v>15369706</v>
      </c>
      <c r="O89">
        <v>366</v>
      </c>
      <c r="P89">
        <v>316</v>
      </c>
      <c r="Q89">
        <v>16449885</v>
      </c>
      <c r="R89">
        <v>16369180</v>
      </c>
      <c r="S89">
        <v>2607548</v>
      </c>
      <c r="T89">
        <v>2659841</v>
      </c>
      <c r="U89">
        <v>0</v>
      </c>
      <c r="V89">
        <v>0</v>
      </c>
      <c r="W89">
        <v>0</v>
      </c>
      <c r="X89">
        <v>0</v>
      </c>
      <c r="Y89">
        <v>23140476</v>
      </c>
      <c r="Z89">
        <v>22910130</v>
      </c>
      <c r="AA89">
        <f t="shared" si="3"/>
        <v>-80705</v>
      </c>
      <c r="AB89">
        <f t="shared" si="2"/>
        <v>-0.49061133254123046</v>
      </c>
    </row>
    <row r="90" spans="1:28">
      <c r="A90" t="s">
        <v>28</v>
      </c>
      <c r="B90" s="2">
        <v>44562</v>
      </c>
      <c r="C90" s="2">
        <v>44531</v>
      </c>
      <c r="D90" s="2">
        <v>44650</v>
      </c>
      <c r="E90">
        <v>84911228</v>
      </c>
      <c r="F90">
        <v>83888146</v>
      </c>
      <c r="G90">
        <v>-1023082</v>
      </c>
      <c r="H90">
        <v>89.29</v>
      </c>
      <c r="I90">
        <v>510000</v>
      </c>
      <c r="J90" t="s">
        <v>29</v>
      </c>
      <c r="K90">
        <v>50.04</v>
      </c>
      <c r="L90">
        <v>50.55</v>
      </c>
      <c r="M90">
        <v>31441078</v>
      </c>
      <c r="N90">
        <v>31357641</v>
      </c>
      <c r="O90">
        <v>0</v>
      </c>
      <c r="P90">
        <v>0</v>
      </c>
      <c r="Q90">
        <v>14241991</v>
      </c>
      <c r="R90">
        <v>14095576</v>
      </c>
      <c r="S90">
        <v>9250321</v>
      </c>
      <c r="T90">
        <v>9290633</v>
      </c>
      <c r="U90">
        <v>0</v>
      </c>
      <c r="V90">
        <v>0</v>
      </c>
      <c r="W90">
        <v>0</v>
      </c>
      <c r="X90">
        <v>0</v>
      </c>
      <c r="Y90">
        <v>29977838</v>
      </c>
      <c r="Z90">
        <v>29144296</v>
      </c>
      <c r="AA90">
        <f t="shared" si="3"/>
        <v>-146415</v>
      </c>
      <c r="AB90">
        <f t="shared" si="2"/>
        <v>-1.0280514852172002</v>
      </c>
    </row>
    <row r="91" spans="1:28">
      <c r="A91" t="s">
        <v>30</v>
      </c>
      <c r="B91" s="2">
        <v>44562</v>
      </c>
      <c r="C91" s="2">
        <v>44531</v>
      </c>
      <c r="D91" s="2">
        <v>44650</v>
      </c>
      <c r="E91">
        <v>24233633</v>
      </c>
      <c r="F91">
        <v>24060701</v>
      </c>
      <c r="G91">
        <v>-172932</v>
      </c>
      <c r="H91">
        <v>90.72</v>
      </c>
      <c r="I91">
        <v>50000</v>
      </c>
      <c r="J91" t="s">
        <v>29</v>
      </c>
      <c r="K91">
        <v>4.58</v>
      </c>
      <c r="L91">
        <v>4.63</v>
      </c>
      <c r="M91">
        <v>9863684</v>
      </c>
      <c r="N91">
        <v>9917783</v>
      </c>
      <c r="O91">
        <v>0</v>
      </c>
      <c r="P91">
        <v>0</v>
      </c>
      <c r="Q91">
        <v>2751705</v>
      </c>
      <c r="R91">
        <v>2634479</v>
      </c>
      <c r="S91">
        <v>3148812</v>
      </c>
      <c r="T91">
        <v>3170289</v>
      </c>
      <c r="U91">
        <v>0</v>
      </c>
      <c r="V91">
        <v>0</v>
      </c>
      <c r="W91">
        <v>0</v>
      </c>
      <c r="X91">
        <v>0</v>
      </c>
      <c r="Y91">
        <v>8469432</v>
      </c>
      <c r="Z91">
        <v>8338150</v>
      </c>
      <c r="AA91">
        <f t="shared" si="3"/>
        <v>-117226</v>
      </c>
      <c r="AB91">
        <f t="shared" si="2"/>
        <v>-4.2601223605001266</v>
      </c>
    </row>
    <row r="92" spans="1:28">
      <c r="A92" t="s">
        <v>31</v>
      </c>
      <c r="B92" s="2">
        <v>44562</v>
      </c>
      <c r="C92" s="2">
        <v>44531</v>
      </c>
      <c r="D92" s="2">
        <v>44650</v>
      </c>
      <c r="E92">
        <v>87414851</v>
      </c>
      <c r="F92">
        <v>85993408</v>
      </c>
      <c r="G92">
        <v>-1421443</v>
      </c>
      <c r="H92">
        <v>81.02</v>
      </c>
      <c r="I92">
        <v>700000</v>
      </c>
      <c r="J92" t="s">
        <v>29</v>
      </c>
      <c r="K92">
        <v>32.6</v>
      </c>
      <c r="L92">
        <v>33.299999999999997</v>
      </c>
      <c r="M92">
        <v>36617800</v>
      </c>
      <c r="N92">
        <v>36786692</v>
      </c>
      <c r="O92">
        <v>0</v>
      </c>
      <c r="P92">
        <v>0</v>
      </c>
      <c r="Q92">
        <v>10577260</v>
      </c>
      <c r="R92">
        <v>10377727</v>
      </c>
      <c r="S92">
        <v>6055483</v>
      </c>
      <c r="T92">
        <v>5412137</v>
      </c>
      <c r="U92">
        <v>0</v>
      </c>
      <c r="V92">
        <v>0</v>
      </c>
      <c r="W92">
        <v>0</v>
      </c>
      <c r="X92">
        <v>0</v>
      </c>
      <c r="Y92">
        <v>34164308</v>
      </c>
      <c r="Z92">
        <v>33416852</v>
      </c>
      <c r="AA92">
        <f t="shared" si="3"/>
        <v>-199533</v>
      </c>
      <c r="AB92">
        <f t="shared" si="2"/>
        <v>-1.8864337266929241</v>
      </c>
    </row>
    <row r="93" spans="1:28">
      <c r="A93" t="s">
        <v>32</v>
      </c>
      <c r="B93" s="2">
        <v>44562</v>
      </c>
      <c r="C93" s="2">
        <v>44531</v>
      </c>
      <c r="D93" s="2">
        <v>44650</v>
      </c>
      <c r="E93">
        <v>52595706</v>
      </c>
      <c r="F93">
        <v>52221365</v>
      </c>
      <c r="G93">
        <v>-374341</v>
      </c>
      <c r="H93">
        <v>74</v>
      </c>
      <c r="I93">
        <v>380000</v>
      </c>
      <c r="J93" t="s">
        <v>29</v>
      </c>
      <c r="K93">
        <v>32.229999999999997</v>
      </c>
      <c r="L93">
        <v>32.61</v>
      </c>
      <c r="M93">
        <v>16083381</v>
      </c>
      <c r="N93">
        <v>16119708</v>
      </c>
      <c r="O93">
        <v>208</v>
      </c>
      <c r="P93">
        <v>208</v>
      </c>
      <c r="Q93">
        <v>15994885</v>
      </c>
      <c r="R93">
        <v>16103982</v>
      </c>
      <c r="S93">
        <v>0</v>
      </c>
      <c r="T93">
        <v>0</v>
      </c>
      <c r="U93">
        <v>0</v>
      </c>
      <c r="V93">
        <v>0</v>
      </c>
      <c r="W93">
        <v>2153573</v>
      </c>
      <c r="X93">
        <v>2153142</v>
      </c>
      <c r="Y93">
        <v>18363659</v>
      </c>
      <c r="Z93">
        <v>17844325</v>
      </c>
      <c r="AA93">
        <f t="shared" si="3"/>
        <v>109097</v>
      </c>
      <c r="AB93">
        <f t="shared" si="2"/>
        <v>0.68207430062798202</v>
      </c>
    </row>
    <row r="94" spans="1:28">
      <c r="A94" t="s">
        <v>33</v>
      </c>
      <c r="B94" s="2">
        <v>44562</v>
      </c>
      <c r="C94" s="2">
        <v>44531</v>
      </c>
      <c r="D94" s="2">
        <v>44650</v>
      </c>
      <c r="E94">
        <v>67474267</v>
      </c>
      <c r="F94">
        <v>67011627</v>
      </c>
      <c r="G94">
        <v>-462640</v>
      </c>
      <c r="H94">
        <v>91.62</v>
      </c>
      <c r="I94">
        <v>580000</v>
      </c>
      <c r="J94" t="s">
        <v>29</v>
      </c>
      <c r="K94">
        <v>44.55</v>
      </c>
      <c r="L94">
        <v>45.13</v>
      </c>
      <c r="M94">
        <v>11706924</v>
      </c>
      <c r="N94">
        <v>11626613</v>
      </c>
      <c r="O94">
        <v>109</v>
      </c>
      <c r="P94">
        <v>109</v>
      </c>
      <c r="Q94">
        <v>23790340</v>
      </c>
      <c r="R94">
        <v>23844613</v>
      </c>
      <c r="S94">
        <v>5557094</v>
      </c>
      <c r="T94">
        <v>5589794</v>
      </c>
      <c r="U94">
        <v>0</v>
      </c>
      <c r="V94">
        <v>0</v>
      </c>
      <c r="W94">
        <v>0</v>
      </c>
      <c r="X94">
        <v>0</v>
      </c>
      <c r="Y94">
        <v>26419800</v>
      </c>
      <c r="Z94">
        <v>25950498</v>
      </c>
      <c r="AA94">
        <f t="shared" si="3"/>
        <v>54273</v>
      </c>
      <c r="AB94">
        <f t="shared" si="2"/>
        <v>0.22813040923332747</v>
      </c>
    </row>
    <row r="95" spans="1:28">
      <c r="A95" t="s">
        <v>34</v>
      </c>
      <c r="B95" s="2">
        <v>44562</v>
      </c>
      <c r="C95" s="2">
        <v>44531</v>
      </c>
      <c r="D95" s="2">
        <v>44650</v>
      </c>
      <c r="E95">
        <v>27644227</v>
      </c>
      <c r="F95">
        <v>27225131</v>
      </c>
      <c r="G95">
        <v>-419096</v>
      </c>
      <c r="H95">
        <v>88.72</v>
      </c>
      <c r="I95">
        <v>260000</v>
      </c>
      <c r="J95" t="s">
        <v>29</v>
      </c>
      <c r="K95">
        <v>21.87</v>
      </c>
      <c r="L95">
        <v>22.13</v>
      </c>
      <c r="M95">
        <v>5758268</v>
      </c>
      <c r="N95">
        <v>5803574</v>
      </c>
      <c r="O95">
        <v>19</v>
      </c>
      <c r="P95">
        <v>19</v>
      </c>
      <c r="Q95">
        <v>7912039</v>
      </c>
      <c r="R95">
        <v>7888919</v>
      </c>
      <c r="S95">
        <v>5008936</v>
      </c>
      <c r="T95">
        <v>4927210</v>
      </c>
      <c r="U95">
        <v>0</v>
      </c>
      <c r="V95">
        <v>0</v>
      </c>
      <c r="W95">
        <v>0</v>
      </c>
      <c r="X95">
        <v>0</v>
      </c>
      <c r="Y95">
        <v>8964965</v>
      </c>
      <c r="Z95">
        <v>8605409</v>
      </c>
      <c r="AA95">
        <f t="shared" si="3"/>
        <v>-23120</v>
      </c>
      <c r="AB95">
        <f t="shared" si="2"/>
        <v>-0.2922129175551334</v>
      </c>
    </row>
    <row r="96" spans="1:28">
      <c r="A96" t="s">
        <v>35</v>
      </c>
      <c r="B96" s="2">
        <v>44562</v>
      </c>
      <c r="C96" s="2">
        <v>44531</v>
      </c>
      <c r="D96" s="2">
        <v>44650</v>
      </c>
      <c r="E96">
        <v>10345396</v>
      </c>
      <c r="F96">
        <v>10231371</v>
      </c>
      <c r="G96">
        <v>-114025</v>
      </c>
      <c r="H96">
        <v>111.06</v>
      </c>
      <c r="I96">
        <v>40000</v>
      </c>
      <c r="J96" t="s">
        <v>29</v>
      </c>
      <c r="K96">
        <v>3.01</v>
      </c>
      <c r="L96">
        <v>3.05</v>
      </c>
      <c r="M96">
        <v>3346476</v>
      </c>
      <c r="N96">
        <v>3323549</v>
      </c>
      <c r="O96">
        <v>93</v>
      </c>
      <c r="P96">
        <v>93</v>
      </c>
      <c r="Q96">
        <v>581906</v>
      </c>
      <c r="R96">
        <v>562770</v>
      </c>
      <c r="S96">
        <v>2731558</v>
      </c>
      <c r="T96">
        <v>2755701</v>
      </c>
      <c r="U96">
        <v>0</v>
      </c>
      <c r="V96">
        <v>0</v>
      </c>
      <c r="W96">
        <v>0</v>
      </c>
      <c r="X96">
        <v>0</v>
      </c>
      <c r="Y96">
        <v>3685363</v>
      </c>
      <c r="Z96">
        <v>3589258</v>
      </c>
      <c r="AA96">
        <f t="shared" si="3"/>
        <v>-19136</v>
      </c>
      <c r="AB96">
        <f t="shared" si="2"/>
        <v>-3.288503641481614</v>
      </c>
    </row>
    <row r="97" spans="1:28">
      <c r="A97" t="s">
        <v>36</v>
      </c>
      <c r="B97" s="2">
        <v>44562</v>
      </c>
      <c r="C97" s="2">
        <v>44531</v>
      </c>
      <c r="D97" s="2">
        <v>44650</v>
      </c>
      <c r="E97">
        <v>11800904</v>
      </c>
      <c r="F97">
        <v>11812506</v>
      </c>
      <c r="G97">
        <v>11602</v>
      </c>
      <c r="H97">
        <v>81.25</v>
      </c>
      <c r="I97">
        <v>30000</v>
      </c>
      <c r="J97" t="s">
        <v>29</v>
      </c>
      <c r="K97">
        <v>1.46</v>
      </c>
      <c r="L97">
        <v>1.49</v>
      </c>
      <c r="M97">
        <v>5585762</v>
      </c>
      <c r="N97">
        <v>5570413</v>
      </c>
      <c r="O97">
        <v>0</v>
      </c>
      <c r="P97">
        <v>0</v>
      </c>
      <c r="Q97">
        <v>460394</v>
      </c>
      <c r="R97">
        <v>456444</v>
      </c>
      <c r="S97">
        <v>1314310</v>
      </c>
      <c r="T97">
        <v>1321570</v>
      </c>
      <c r="U97">
        <v>0</v>
      </c>
      <c r="V97">
        <v>0</v>
      </c>
      <c r="W97">
        <v>0</v>
      </c>
      <c r="X97">
        <v>0</v>
      </c>
      <c r="Y97">
        <v>4440438</v>
      </c>
      <c r="Z97">
        <v>4464079</v>
      </c>
      <c r="AA97">
        <f t="shared" si="3"/>
        <v>-3950</v>
      </c>
      <c r="AB97">
        <f t="shared" si="2"/>
        <v>-0.85796079010586579</v>
      </c>
    </row>
    <row r="98" spans="1:28">
      <c r="A98" t="s">
        <v>37</v>
      </c>
      <c r="B98" s="2">
        <v>44562</v>
      </c>
      <c r="C98" s="2">
        <v>44531</v>
      </c>
      <c r="D98" s="2">
        <v>44650</v>
      </c>
      <c r="E98">
        <v>66277628</v>
      </c>
      <c r="F98">
        <v>65259284</v>
      </c>
      <c r="G98">
        <v>-1018344</v>
      </c>
      <c r="H98">
        <v>87.21</v>
      </c>
      <c r="I98">
        <v>460000</v>
      </c>
      <c r="J98" t="s">
        <v>29</v>
      </c>
      <c r="K98">
        <v>51.72</v>
      </c>
      <c r="L98">
        <v>52.18</v>
      </c>
      <c r="M98">
        <v>30515006</v>
      </c>
      <c r="N98">
        <v>30539030</v>
      </c>
      <c r="O98">
        <v>691</v>
      </c>
      <c r="P98">
        <v>725</v>
      </c>
      <c r="Q98">
        <v>8249302</v>
      </c>
      <c r="R98">
        <v>7981269</v>
      </c>
      <c r="S98">
        <v>6883854</v>
      </c>
      <c r="T98">
        <v>6937785</v>
      </c>
      <c r="U98">
        <v>0</v>
      </c>
      <c r="V98">
        <v>0</v>
      </c>
      <c r="W98">
        <v>0</v>
      </c>
      <c r="X98">
        <v>0</v>
      </c>
      <c r="Y98">
        <v>20628775</v>
      </c>
      <c r="Z98">
        <v>19800475</v>
      </c>
      <c r="AA98">
        <f t="shared" si="3"/>
        <v>-268033</v>
      </c>
      <c r="AB98">
        <f t="shared" si="2"/>
        <v>-3.2491597470913298</v>
      </c>
    </row>
    <row r="99" spans="1:28">
      <c r="A99" t="s">
        <v>38</v>
      </c>
      <c r="B99" s="2">
        <v>44562</v>
      </c>
      <c r="C99" s="2">
        <v>44531</v>
      </c>
      <c r="D99" s="2">
        <v>44650</v>
      </c>
      <c r="E99">
        <v>44367615</v>
      </c>
      <c r="F99">
        <v>43996154</v>
      </c>
      <c r="G99">
        <v>-371461</v>
      </c>
      <c r="H99">
        <v>93.4</v>
      </c>
      <c r="I99">
        <v>220000</v>
      </c>
      <c r="J99" t="s">
        <v>29</v>
      </c>
      <c r="K99">
        <v>17.61</v>
      </c>
      <c r="L99">
        <v>17.829999999999998</v>
      </c>
      <c r="M99">
        <v>7655543</v>
      </c>
      <c r="N99">
        <v>7683913</v>
      </c>
      <c r="O99">
        <v>185</v>
      </c>
      <c r="P99">
        <v>185</v>
      </c>
      <c r="Q99">
        <v>16408387</v>
      </c>
      <c r="R99">
        <v>16329344</v>
      </c>
      <c r="S99">
        <v>10713151</v>
      </c>
      <c r="T99">
        <v>10669413</v>
      </c>
      <c r="U99">
        <v>0</v>
      </c>
      <c r="V99">
        <v>0</v>
      </c>
      <c r="W99">
        <v>0</v>
      </c>
      <c r="X99">
        <v>0</v>
      </c>
      <c r="Y99">
        <v>9590349</v>
      </c>
      <c r="Z99">
        <v>9313299</v>
      </c>
      <c r="AA99">
        <f t="shared" si="3"/>
        <v>-79043</v>
      </c>
      <c r="AB99">
        <f t="shared" si="2"/>
        <v>-0.48172315779728986</v>
      </c>
    </row>
    <row r="100" spans="1:28">
      <c r="A100" t="s">
        <v>39</v>
      </c>
      <c r="B100" s="2">
        <v>44562</v>
      </c>
      <c r="C100" s="2">
        <v>44531</v>
      </c>
      <c r="D100" s="2">
        <v>44650</v>
      </c>
      <c r="E100">
        <v>24354989</v>
      </c>
      <c r="F100">
        <v>24015033</v>
      </c>
      <c r="G100">
        <v>-339956</v>
      </c>
      <c r="H100">
        <v>88.37</v>
      </c>
      <c r="I100">
        <v>130000</v>
      </c>
      <c r="J100" t="s">
        <v>29</v>
      </c>
      <c r="K100">
        <v>13.64</v>
      </c>
      <c r="L100">
        <v>13.77</v>
      </c>
      <c r="M100">
        <v>5551034</v>
      </c>
      <c r="N100">
        <v>5606499</v>
      </c>
      <c r="O100">
        <v>2</v>
      </c>
      <c r="P100">
        <v>2</v>
      </c>
      <c r="Q100">
        <v>6313538</v>
      </c>
      <c r="R100">
        <v>6239867</v>
      </c>
      <c r="S100">
        <v>2282912</v>
      </c>
      <c r="T100">
        <v>2330334</v>
      </c>
      <c r="U100">
        <v>0</v>
      </c>
      <c r="V100">
        <v>0</v>
      </c>
      <c r="W100">
        <v>0</v>
      </c>
      <c r="X100">
        <v>0</v>
      </c>
      <c r="Y100">
        <v>10207503</v>
      </c>
      <c r="Z100">
        <v>9838331</v>
      </c>
      <c r="AA100">
        <f t="shared" si="3"/>
        <v>-73671</v>
      </c>
      <c r="AB100">
        <f t="shared" si="2"/>
        <v>-1.1668734709445006</v>
      </c>
    </row>
    <row r="101" spans="1:28">
      <c r="A101" t="s">
        <v>40</v>
      </c>
      <c r="B101" s="2">
        <v>44562</v>
      </c>
      <c r="C101" s="2">
        <v>44531</v>
      </c>
      <c r="D101" s="2">
        <v>44650</v>
      </c>
      <c r="E101">
        <v>77371246</v>
      </c>
      <c r="F101">
        <v>77215792</v>
      </c>
      <c r="G101">
        <v>-155454</v>
      </c>
      <c r="H101">
        <v>81.099999999999994</v>
      </c>
      <c r="I101">
        <v>810000</v>
      </c>
      <c r="J101" t="s">
        <v>29</v>
      </c>
      <c r="K101">
        <v>48.06</v>
      </c>
      <c r="L101">
        <v>48.87</v>
      </c>
      <c r="M101">
        <v>15204073</v>
      </c>
      <c r="N101">
        <v>15136663</v>
      </c>
      <c r="O101">
        <v>0</v>
      </c>
      <c r="P101">
        <v>0</v>
      </c>
      <c r="Q101">
        <v>20461601</v>
      </c>
      <c r="R101">
        <v>20684045</v>
      </c>
      <c r="S101">
        <v>6016461</v>
      </c>
      <c r="T101">
        <v>6037258</v>
      </c>
      <c r="U101">
        <v>0</v>
      </c>
      <c r="V101">
        <v>0</v>
      </c>
      <c r="W101">
        <v>0</v>
      </c>
      <c r="X101">
        <v>0</v>
      </c>
      <c r="Y101">
        <v>35689111</v>
      </c>
      <c r="Z101">
        <v>35357826</v>
      </c>
      <c r="AA101">
        <f t="shared" si="3"/>
        <v>222444</v>
      </c>
      <c r="AB101">
        <f t="shared" si="2"/>
        <v>1.0871290081357761</v>
      </c>
    </row>
    <row r="102" spans="1:28">
      <c r="A102" t="s">
        <v>41</v>
      </c>
      <c r="B102" s="2">
        <v>44562</v>
      </c>
      <c r="C102" s="2">
        <v>44531</v>
      </c>
      <c r="D102" s="2">
        <v>44650</v>
      </c>
      <c r="E102">
        <v>92409797</v>
      </c>
      <c r="F102">
        <v>92427309</v>
      </c>
      <c r="G102">
        <v>17512</v>
      </c>
      <c r="H102">
        <v>88.35</v>
      </c>
      <c r="I102">
        <v>800000</v>
      </c>
      <c r="J102" t="s">
        <v>29</v>
      </c>
      <c r="K102">
        <v>54.73</v>
      </c>
      <c r="L102">
        <v>55.53</v>
      </c>
      <c r="M102">
        <v>20034296</v>
      </c>
      <c r="N102">
        <v>20129289</v>
      </c>
      <c r="O102">
        <v>0</v>
      </c>
      <c r="P102">
        <v>0</v>
      </c>
      <c r="Q102">
        <v>28665552</v>
      </c>
      <c r="R102">
        <v>29317539</v>
      </c>
      <c r="S102">
        <v>6626836</v>
      </c>
      <c r="T102">
        <v>6646400</v>
      </c>
      <c r="U102">
        <v>0</v>
      </c>
      <c r="V102">
        <v>0</v>
      </c>
      <c r="W102">
        <v>0</v>
      </c>
      <c r="X102">
        <v>0</v>
      </c>
      <c r="Y102">
        <v>37083113</v>
      </c>
      <c r="Z102">
        <v>36334081</v>
      </c>
      <c r="AA102">
        <f t="shared" si="3"/>
        <v>651987</v>
      </c>
      <c r="AB102">
        <f t="shared" si="2"/>
        <v>2.2744616953477821</v>
      </c>
    </row>
    <row r="103" spans="1:28">
      <c r="A103" t="s">
        <v>42</v>
      </c>
      <c r="B103" s="2">
        <v>44562</v>
      </c>
      <c r="C103" s="2">
        <v>44531</v>
      </c>
      <c r="D103" s="2">
        <v>44650</v>
      </c>
      <c r="E103">
        <v>34178676</v>
      </c>
      <c r="F103">
        <v>34266908</v>
      </c>
      <c r="G103">
        <v>88232</v>
      </c>
      <c r="H103">
        <v>69.95</v>
      </c>
      <c r="I103">
        <v>180000</v>
      </c>
      <c r="J103" t="s">
        <v>29</v>
      </c>
      <c r="K103">
        <v>26.94</v>
      </c>
      <c r="L103">
        <v>27.12</v>
      </c>
      <c r="M103">
        <v>9457931</v>
      </c>
      <c r="N103">
        <v>9522065</v>
      </c>
      <c r="O103">
        <v>1380</v>
      </c>
      <c r="P103">
        <v>1367</v>
      </c>
      <c r="Q103">
        <v>11587899</v>
      </c>
      <c r="R103">
        <v>11849869</v>
      </c>
      <c r="S103">
        <v>0</v>
      </c>
      <c r="T103">
        <v>0</v>
      </c>
      <c r="U103">
        <v>0</v>
      </c>
      <c r="V103">
        <v>0</v>
      </c>
      <c r="W103">
        <v>1103707</v>
      </c>
      <c r="X103">
        <v>1103707</v>
      </c>
      <c r="Y103">
        <v>12027759</v>
      </c>
      <c r="Z103">
        <v>11789900</v>
      </c>
      <c r="AA103">
        <f t="shared" si="3"/>
        <v>261970</v>
      </c>
      <c r="AB103">
        <f t="shared" si="2"/>
        <v>2.2607204291304228</v>
      </c>
    </row>
    <row r="104" spans="1:28">
      <c r="A104" t="s">
        <v>43</v>
      </c>
      <c r="B104" s="2">
        <v>44562</v>
      </c>
      <c r="C104" s="2">
        <v>44531</v>
      </c>
      <c r="D104" s="2">
        <v>44650</v>
      </c>
      <c r="E104">
        <v>12003131</v>
      </c>
      <c r="F104">
        <v>11912501</v>
      </c>
      <c r="G104">
        <v>-90630</v>
      </c>
      <c r="H104">
        <v>91.24</v>
      </c>
      <c r="I104">
        <v>10000</v>
      </c>
      <c r="J104" t="s">
        <v>29</v>
      </c>
      <c r="K104">
        <v>1.69</v>
      </c>
      <c r="L104">
        <v>1.7</v>
      </c>
      <c r="M104">
        <v>5541403</v>
      </c>
      <c r="N104">
        <v>5560199</v>
      </c>
      <c r="O104">
        <v>0</v>
      </c>
      <c r="P104">
        <v>0</v>
      </c>
      <c r="Q104">
        <v>1217071</v>
      </c>
      <c r="R104">
        <v>1149253</v>
      </c>
      <c r="S104">
        <v>1355620</v>
      </c>
      <c r="T104">
        <v>1355854</v>
      </c>
      <c r="U104">
        <v>0</v>
      </c>
      <c r="V104">
        <v>0</v>
      </c>
      <c r="W104">
        <v>0</v>
      </c>
      <c r="X104">
        <v>0</v>
      </c>
      <c r="Y104">
        <v>3889037</v>
      </c>
      <c r="Z104">
        <v>3847195</v>
      </c>
      <c r="AA104">
        <f t="shared" si="3"/>
        <v>-67818</v>
      </c>
      <c r="AB104">
        <f t="shared" si="2"/>
        <v>-5.5722303793287322</v>
      </c>
    </row>
    <row r="105" spans="1:28">
      <c r="A105" t="s">
        <v>44</v>
      </c>
      <c r="B105" s="2">
        <v>44562</v>
      </c>
      <c r="C105" s="2">
        <v>44531</v>
      </c>
      <c r="D105" s="2">
        <v>44650</v>
      </c>
      <c r="E105">
        <v>33175666</v>
      </c>
      <c r="F105">
        <v>32842995</v>
      </c>
      <c r="G105">
        <v>-332671</v>
      </c>
      <c r="H105">
        <v>91.86</v>
      </c>
      <c r="I105">
        <v>150000</v>
      </c>
      <c r="J105" t="s">
        <v>29</v>
      </c>
      <c r="K105">
        <v>12.79</v>
      </c>
      <c r="L105">
        <v>12.94</v>
      </c>
      <c r="M105">
        <v>11054462</v>
      </c>
      <c r="N105">
        <v>11063924</v>
      </c>
      <c r="O105">
        <v>66</v>
      </c>
      <c r="P105">
        <v>64</v>
      </c>
      <c r="Q105">
        <v>2002780</v>
      </c>
      <c r="R105">
        <v>1943167</v>
      </c>
      <c r="S105">
        <v>6230390</v>
      </c>
      <c r="T105">
        <v>6273295</v>
      </c>
      <c r="U105">
        <v>0</v>
      </c>
      <c r="V105">
        <v>0</v>
      </c>
      <c r="W105">
        <v>0</v>
      </c>
      <c r="X105">
        <v>0</v>
      </c>
      <c r="Y105">
        <v>13887968</v>
      </c>
      <c r="Z105">
        <v>13562545</v>
      </c>
      <c r="AA105">
        <f t="shared" si="3"/>
        <v>-59613</v>
      </c>
      <c r="AB105">
        <f t="shared" si="2"/>
        <v>-2.976512647420086</v>
      </c>
    </row>
    <row r="106" spans="1:28">
      <c r="A106" t="s">
        <v>45</v>
      </c>
      <c r="B106" s="2">
        <v>44562</v>
      </c>
      <c r="C106" s="2">
        <v>44531</v>
      </c>
      <c r="D106" s="2">
        <v>44650</v>
      </c>
      <c r="E106">
        <v>37799706</v>
      </c>
      <c r="F106">
        <v>37165646</v>
      </c>
      <c r="G106">
        <v>-634060</v>
      </c>
      <c r="H106">
        <v>84.62</v>
      </c>
      <c r="I106">
        <v>270000</v>
      </c>
      <c r="J106" t="s">
        <v>29</v>
      </c>
      <c r="K106">
        <v>24.46</v>
      </c>
      <c r="L106">
        <v>24.73</v>
      </c>
      <c r="M106">
        <v>11698618</v>
      </c>
      <c r="N106">
        <v>11718655</v>
      </c>
      <c r="O106">
        <v>144</v>
      </c>
      <c r="P106">
        <v>139</v>
      </c>
      <c r="Q106">
        <v>8871081</v>
      </c>
      <c r="R106">
        <v>8666491</v>
      </c>
      <c r="S106">
        <v>5340564</v>
      </c>
      <c r="T106">
        <v>5291338</v>
      </c>
      <c r="U106">
        <v>0</v>
      </c>
      <c r="V106">
        <v>0</v>
      </c>
      <c r="W106">
        <v>0</v>
      </c>
      <c r="X106">
        <v>0</v>
      </c>
      <c r="Y106">
        <v>11889299</v>
      </c>
      <c r="Z106">
        <v>11489023</v>
      </c>
      <c r="AA106">
        <f t="shared" si="3"/>
        <v>-204590</v>
      </c>
      <c r="AB106">
        <f t="shared" si="2"/>
        <v>-2.3062578281046022</v>
      </c>
    </row>
    <row r="107" spans="1:28">
      <c r="A107" t="s">
        <v>46</v>
      </c>
      <c r="B107" s="2">
        <v>44562</v>
      </c>
      <c r="C107" s="2">
        <v>44531</v>
      </c>
      <c r="D107" s="2">
        <v>44650</v>
      </c>
      <c r="E107">
        <v>63331283</v>
      </c>
      <c r="F107">
        <v>62951400</v>
      </c>
      <c r="G107">
        <v>-379883</v>
      </c>
      <c r="H107">
        <v>90.52</v>
      </c>
      <c r="I107">
        <v>580000</v>
      </c>
      <c r="J107" t="s">
        <v>29</v>
      </c>
      <c r="K107">
        <v>47.46</v>
      </c>
      <c r="L107">
        <v>48.04</v>
      </c>
      <c r="M107">
        <v>21437654</v>
      </c>
      <c r="N107">
        <v>21502619</v>
      </c>
      <c r="O107">
        <v>183</v>
      </c>
      <c r="P107">
        <v>183</v>
      </c>
      <c r="Q107">
        <v>11463411</v>
      </c>
      <c r="R107">
        <v>11378812</v>
      </c>
      <c r="S107">
        <v>6339200</v>
      </c>
      <c r="T107">
        <v>6395775</v>
      </c>
      <c r="U107">
        <v>0</v>
      </c>
      <c r="V107">
        <v>0</v>
      </c>
      <c r="W107">
        <v>0</v>
      </c>
      <c r="X107">
        <v>0</v>
      </c>
      <c r="Y107">
        <v>24090835</v>
      </c>
      <c r="Z107">
        <v>23674011</v>
      </c>
      <c r="AA107">
        <f t="shared" si="3"/>
        <v>-84599</v>
      </c>
      <c r="AB107">
        <f t="shared" si="2"/>
        <v>-0.73799151055475554</v>
      </c>
    </row>
    <row r="108" spans="1:28">
      <c r="A108" t="s">
        <v>47</v>
      </c>
      <c r="B108" s="2">
        <v>44562</v>
      </c>
      <c r="C108" s="2">
        <v>44531</v>
      </c>
      <c r="D108" s="2">
        <v>44650</v>
      </c>
      <c r="E108">
        <v>80951765</v>
      </c>
      <c r="F108">
        <v>80115336</v>
      </c>
      <c r="G108">
        <v>-836429</v>
      </c>
      <c r="H108">
        <v>95.48</v>
      </c>
      <c r="I108">
        <v>440000</v>
      </c>
      <c r="J108" t="s">
        <v>29</v>
      </c>
      <c r="K108">
        <v>48.42</v>
      </c>
      <c r="L108">
        <v>48.86</v>
      </c>
      <c r="M108">
        <v>28022805</v>
      </c>
      <c r="N108">
        <v>28003817</v>
      </c>
      <c r="O108">
        <v>317</v>
      </c>
      <c r="P108">
        <v>316</v>
      </c>
      <c r="Q108">
        <v>18029076</v>
      </c>
      <c r="R108">
        <v>17762548</v>
      </c>
      <c r="S108">
        <v>9948483</v>
      </c>
      <c r="T108">
        <v>10038454</v>
      </c>
      <c r="U108">
        <v>51438</v>
      </c>
      <c r="V108">
        <v>52494</v>
      </c>
      <c r="W108">
        <v>0</v>
      </c>
      <c r="X108">
        <v>0</v>
      </c>
      <c r="Y108">
        <v>24899646</v>
      </c>
      <c r="Z108">
        <v>24257707</v>
      </c>
      <c r="AA108">
        <f t="shared" si="3"/>
        <v>-266528</v>
      </c>
      <c r="AB108">
        <f t="shared" si="2"/>
        <v>-1.4783231264874583</v>
      </c>
    </row>
    <row r="109" spans="1:28">
      <c r="A109" t="s">
        <v>48</v>
      </c>
      <c r="B109" s="2">
        <v>44562</v>
      </c>
      <c r="C109" s="2">
        <v>44531</v>
      </c>
      <c r="D109" s="2">
        <v>44650</v>
      </c>
      <c r="E109">
        <v>100462602</v>
      </c>
      <c r="F109">
        <v>100069603</v>
      </c>
      <c r="G109">
        <v>-392999</v>
      </c>
      <c r="H109">
        <v>85.27</v>
      </c>
      <c r="I109">
        <v>1390000</v>
      </c>
      <c r="J109" t="s">
        <v>29</v>
      </c>
      <c r="K109">
        <v>49.42</v>
      </c>
      <c r="L109">
        <v>50.81</v>
      </c>
      <c r="M109">
        <v>35978842</v>
      </c>
      <c r="N109">
        <v>36034430</v>
      </c>
      <c r="O109">
        <v>0</v>
      </c>
      <c r="P109">
        <v>0</v>
      </c>
      <c r="Q109">
        <v>20531856</v>
      </c>
      <c r="R109">
        <v>20736110</v>
      </c>
      <c r="S109">
        <v>11135129</v>
      </c>
      <c r="T109">
        <v>11124399</v>
      </c>
      <c r="U109">
        <v>0</v>
      </c>
      <c r="V109">
        <v>0</v>
      </c>
      <c r="W109">
        <v>0</v>
      </c>
      <c r="X109">
        <v>0</v>
      </c>
      <c r="Y109">
        <v>32816775</v>
      </c>
      <c r="Z109">
        <v>32174664</v>
      </c>
      <c r="AA109">
        <f t="shared" si="3"/>
        <v>204254</v>
      </c>
      <c r="AB109">
        <f t="shared" si="2"/>
        <v>0.994815081500669</v>
      </c>
    </row>
    <row r="110" spans="1:28">
      <c r="A110" t="s">
        <v>49</v>
      </c>
      <c r="B110" s="2">
        <v>44562</v>
      </c>
      <c r="C110" s="2">
        <v>44531</v>
      </c>
      <c r="D110" s="2">
        <v>44650</v>
      </c>
      <c r="E110">
        <v>64206130</v>
      </c>
      <c r="F110">
        <v>64084380</v>
      </c>
      <c r="G110">
        <v>-121750</v>
      </c>
      <c r="H110">
        <v>83.63</v>
      </c>
      <c r="I110">
        <v>1010000</v>
      </c>
      <c r="J110" t="s">
        <v>29</v>
      </c>
      <c r="K110">
        <v>39.25</v>
      </c>
      <c r="L110">
        <v>40.26</v>
      </c>
      <c r="M110">
        <v>17844869</v>
      </c>
      <c r="N110">
        <v>18036076</v>
      </c>
      <c r="O110">
        <v>21</v>
      </c>
      <c r="P110">
        <v>21</v>
      </c>
      <c r="Q110">
        <v>19033068</v>
      </c>
      <c r="R110">
        <v>19143370</v>
      </c>
      <c r="S110">
        <v>5707962</v>
      </c>
      <c r="T110">
        <v>5813800</v>
      </c>
      <c r="U110">
        <v>0</v>
      </c>
      <c r="V110">
        <v>0</v>
      </c>
      <c r="W110">
        <v>0</v>
      </c>
      <c r="X110">
        <v>0</v>
      </c>
      <c r="Y110">
        <v>21620210</v>
      </c>
      <c r="Z110">
        <v>21091113</v>
      </c>
      <c r="AA110">
        <f t="shared" si="3"/>
        <v>110302</v>
      </c>
      <c r="AB110">
        <f t="shared" si="2"/>
        <v>0.57952821899233486</v>
      </c>
    </row>
    <row r="111" spans="1:28">
      <c r="A111" t="s">
        <v>50</v>
      </c>
      <c r="B111" s="2">
        <v>44562</v>
      </c>
      <c r="C111" s="2">
        <v>44531</v>
      </c>
      <c r="D111" s="2">
        <v>44650</v>
      </c>
      <c r="E111">
        <v>57309173</v>
      </c>
      <c r="F111">
        <v>56477603</v>
      </c>
      <c r="G111">
        <v>-831570</v>
      </c>
      <c r="H111">
        <v>86.75</v>
      </c>
      <c r="I111">
        <v>560000</v>
      </c>
      <c r="J111" t="s">
        <v>29</v>
      </c>
      <c r="K111">
        <v>34.89</v>
      </c>
      <c r="L111">
        <v>35.450000000000003</v>
      </c>
      <c r="M111">
        <v>15369706</v>
      </c>
      <c r="N111">
        <v>15440662</v>
      </c>
      <c r="O111">
        <v>316</v>
      </c>
      <c r="P111">
        <v>300</v>
      </c>
      <c r="Q111">
        <v>16369180</v>
      </c>
      <c r="R111">
        <v>15979046</v>
      </c>
      <c r="S111">
        <v>2659841</v>
      </c>
      <c r="T111">
        <v>2546902</v>
      </c>
      <c r="U111">
        <v>0</v>
      </c>
      <c r="V111">
        <v>0</v>
      </c>
      <c r="W111">
        <v>0</v>
      </c>
      <c r="X111">
        <v>0</v>
      </c>
      <c r="Y111">
        <v>22910130</v>
      </c>
      <c r="Z111">
        <v>22510693</v>
      </c>
      <c r="AA111">
        <f t="shared" si="3"/>
        <v>-390134</v>
      </c>
      <c r="AB111">
        <f t="shared" si="2"/>
        <v>-2.3833447979678883</v>
      </c>
    </row>
    <row r="112" spans="1:28">
      <c r="A112" t="s">
        <v>28</v>
      </c>
      <c r="B112" s="2">
        <v>44593</v>
      </c>
      <c r="C112" s="2">
        <v>44562</v>
      </c>
      <c r="D112" s="2">
        <v>44670</v>
      </c>
      <c r="E112">
        <v>83888146</v>
      </c>
      <c r="F112">
        <v>83256544</v>
      </c>
      <c r="G112">
        <v>-631602</v>
      </c>
      <c r="H112">
        <v>89.9</v>
      </c>
      <c r="I112">
        <v>480000</v>
      </c>
      <c r="J112" t="s">
        <v>29</v>
      </c>
      <c r="K112">
        <v>50.55</v>
      </c>
      <c r="L112">
        <v>51.03</v>
      </c>
      <c r="M112">
        <v>31357641</v>
      </c>
      <c r="N112">
        <v>31321286</v>
      </c>
      <c r="O112">
        <v>0</v>
      </c>
      <c r="P112">
        <v>0</v>
      </c>
      <c r="Q112">
        <v>14095576</v>
      </c>
      <c r="R112">
        <v>13803355</v>
      </c>
      <c r="S112">
        <v>9290633</v>
      </c>
      <c r="T112">
        <v>9307279</v>
      </c>
      <c r="U112">
        <v>0</v>
      </c>
      <c r="V112">
        <v>0</v>
      </c>
      <c r="W112">
        <v>0</v>
      </c>
      <c r="X112">
        <v>0</v>
      </c>
      <c r="Y112">
        <v>29144296</v>
      </c>
      <c r="Z112">
        <v>28824624</v>
      </c>
      <c r="AA112">
        <f t="shared" si="3"/>
        <v>-292221</v>
      </c>
      <c r="AB112">
        <f t="shared" si="2"/>
        <v>-2.0731398277019681</v>
      </c>
    </row>
    <row r="113" spans="1:28">
      <c r="A113" t="s">
        <v>30</v>
      </c>
      <c r="B113" s="2">
        <v>44593</v>
      </c>
      <c r="C113" s="2">
        <v>44562</v>
      </c>
      <c r="D113" s="2">
        <v>44670</v>
      </c>
      <c r="E113">
        <v>24060701</v>
      </c>
      <c r="F113">
        <v>24007214</v>
      </c>
      <c r="G113">
        <v>-53487</v>
      </c>
      <c r="H113">
        <v>91.44</v>
      </c>
      <c r="I113">
        <v>270000</v>
      </c>
      <c r="J113" t="s">
        <v>29</v>
      </c>
      <c r="K113">
        <v>4.63</v>
      </c>
      <c r="L113">
        <v>4.9000000000000004</v>
      </c>
      <c r="M113">
        <v>9917783</v>
      </c>
      <c r="N113">
        <v>9984555</v>
      </c>
      <c r="O113">
        <v>0</v>
      </c>
      <c r="P113">
        <v>0</v>
      </c>
      <c r="Q113">
        <v>2634479</v>
      </c>
      <c r="R113">
        <v>2567962</v>
      </c>
      <c r="S113">
        <v>3170289</v>
      </c>
      <c r="T113">
        <v>3188296</v>
      </c>
      <c r="U113">
        <v>0</v>
      </c>
      <c r="V113">
        <v>0</v>
      </c>
      <c r="W113">
        <v>0</v>
      </c>
      <c r="X113">
        <v>0</v>
      </c>
      <c r="Y113">
        <v>8338150</v>
      </c>
      <c r="Z113">
        <v>8266401</v>
      </c>
      <c r="AA113">
        <f t="shared" si="3"/>
        <v>-66517</v>
      </c>
      <c r="AB113">
        <f t="shared" si="2"/>
        <v>-2.5248635498707714</v>
      </c>
    </row>
    <row r="114" spans="1:28">
      <c r="A114" t="s">
        <v>31</v>
      </c>
      <c r="B114" s="2">
        <v>44593</v>
      </c>
      <c r="C114" s="2">
        <v>44562</v>
      </c>
      <c r="D114" s="2">
        <v>44670</v>
      </c>
      <c r="E114">
        <v>85993408</v>
      </c>
      <c r="F114">
        <v>85871117</v>
      </c>
      <c r="G114">
        <v>-122291</v>
      </c>
      <c r="H114">
        <v>82.13</v>
      </c>
      <c r="I114">
        <v>640000</v>
      </c>
      <c r="J114" t="s">
        <v>29</v>
      </c>
      <c r="K114">
        <v>33.299999999999997</v>
      </c>
      <c r="L114">
        <v>33.94</v>
      </c>
      <c r="M114">
        <v>36786692</v>
      </c>
      <c r="N114">
        <v>37096283</v>
      </c>
      <c r="O114">
        <v>0</v>
      </c>
      <c r="P114">
        <v>0</v>
      </c>
      <c r="Q114">
        <v>10377727</v>
      </c>
      <c r="R114">
        <v>10314616</v>
      </c>
      <c r="S114">
        <v>5412137</v>
      </c>
      <c r="T114">
        <v>5291655</v>
      </c>
      <c r="U114">
        <v>0</v>
      </c>
      <c r="V114">
        <v>0</v>
      </c>
      <c r="W114">
        <v>0</v>
      </c>
      <c r="X114">
        <v>0</v>
      </c>
      <c r="Y114">
        <v>33416852</v>
      </c>
      <c r="Z114">
        <v>33168563</v>
      </c>
      <c r="AA114">
        <f t="shared" si="3"/>
        <v>-63111</v>
      </c>
      <c r="AB114">
        <f t="shared" si="2"/>
        <v>-0.60813894988758133</v>
      </c>
    </row>
    <row r="115" spans="1:28">
      <c r="A115" t="s">
        <v>32</v>
      </c>
      <c r="B115" s="2">
        <v>44593</v>
      </c>
      <c r="C115" s="2">
        <v>44562</v>
      </c>
      <c r="D115" s="2">
        <v>44670</v>
      </c>
      <c r="E115">
        <v>52221365</v>
      </c>
      <c r="F115">
        <v>52111684</v>
      </c>
      <c r="G115">
        <v>-109681</v>
      </c>
      <c r="H115">
        <v>69.88</v>
      </c>
      <c r="I115">
        <v>260000</v>
      </c>
      <c r="J115" t="s">
        <v>29</v>
      </c>
      <c r="K115">
        <v>32.61</v>
      </c>
      <c r="L115">
        <v>32.869999999999997</v>
      </c>
      <c r="M115">
        <v>16119708</v>
      </c>
      <c r="N115">
        <v>16189175</v>
      </c>
      <c r="O115">
        <v>208</v>
      </c>
      <c r="P115">
        <v>206</v>
      </c>
      <c r="Q115">
        <v>16103982</v>
      </c>
      <c r="R115">
        <v>16054137</v>
      </c>
      <c r="S115">
        <v>0</v>
      </c>
      <c r="T115">
        <v>0</v>
      </c>
      <c r="U115">
        <v>0</v>
      </c>
      <c r="V115">
        <v>0</v>
      </c>
      <c r="W115">
        <v>2153142</v>
      </c>
      <c r="X115">
        <v>2152799</v>
      </c>
      <c r="Y115">
        <v>17844325</v>
      </c>
      <c r="Z115">
        <v>17715367</v>
      </c>
      <c r="AA115">
        <f t="shared" si="3"/>
        <v>-49845</v>
      </c>
      <c r="AB115">
        <f t="shared" si="2"/>
        <v>-0.30951972002949335</v>
      </c>
    </row>
    <row r="116" spans="1:28">
      <c r="A116" t="s">
        <v>33</v>
      </c>
      <c r="B116" s="2">
        <v>44593</v>
      </c>
      <c r="C116" s="2">
        <v>44562</v>
      </c>
      <c r="D116" s="2">
        <v>44670</v>
      </c>
      <c r="E116">
        <v>67011627</v>
      </c>
      <c r="F116">
        <v>66989182</v>
      </c>
      <c r="G116">
        <v>-22445</v>
      </c>
      <c r="H116">
        <v>91.03</v>
      </c>
      <c r="I116">
        <v>910000</v>
      </c>
      <c r="J116" t="s">
        <v>29</v>
      </c>
      <c r="K116">
        <v>45.13</v>
      </c>
      <c r="L116">
        <v>46.04</v>
      </c>
      <c r="M116">
        <v>11626613</v>
      </c>
      <c r="N116">
        <v>11771457</v>
      </c>
      <c r="O116">
        <v>109</v>
      </c>
      <c r="P116">
        <v>109</v>
      </c>
      <c r="Q116">
        <v>23844613</v>
      </c>
      <c r="R116">
        <v>23867662</v>
      </c>
      <c r="S116">
        <v>5589794</v>
      </c>
      <c r="T116">
        <v>5596715</v>
      </c>
      <c r="U116">
        <v>0</v>
      </c>
      <c r="V116">
        <v>0</v>
      </c>
      <c r="W116">
        <v>0</v>
      </c>
      <c r="X116">
        <v>0</v>
      </c>
      <c r="Y116">
        <v>25950498</v>
      </c>
      <c r="Z116">
        <v>25753239</v>
      </c>
      <c r="AA116">
        <f t="shared" si="3"/>
        <v>23049</v>
      </c>
      <c r="AB116">
        <f t="shared" si="2"/>
        <v>9.6663342785223649E-2</v>
      </c>
    </row>
    <row r="117" spans="1:28">
      <c r="A117" t="s">
        <v>34</v>
      </c>
      <c r="B117" s="2">
        <v>44593</v>
      </c>
      <c r="C117" s="2">
        <v>44562</v>
      </c>
      <c r="D117" s="2">
        <v>44670</v>
      </c>
      <c r="E117">
        <v>27225131</v>
      </c>
      <c r="F117">
        <v>27269608</v>
      </c>
      <c r="G117">
        <v>44477</v>
      </c>
      <c r="H117">
        <v>86.69</v>
      </c>
      <c r="I117">
        <v>510000</v>
      </c>
      <c r="J117" t="s">
        <v>29</v>
      </c>
      <c r="K117">
        <v>22.13</v>
      </c>
      <c r="L117">
        <v>22.64</v>
      </c>
      <c r="M117">
        <v>5803574</v>
      </c>
      <c r="N117">
        <v>5860741</v>
      </c>
      <c r="O117">
        <v>19</v>
      </c>
      <c r="P117">
        <v>19</v>
      </c>
      <c r="Q117">
        <v>7888919</v>
      </c>
      <c r="R117">
        <v>7918102</v>
      </c>
      <c r="S117">
        <v>4927210</v>
      </c>
      <c r="T117">
        <v>4946357</v>
      </c>
      <c r="U117">
        <v>0</v>
      </c>
      <c r="V117">
        <v>0</v>
      </c>
      <c r="W117">
        <v>0</v>
      </c>
      <c r="X117">
        <v>0</v>
      </c>
      <c r="Y117">
        <v>8605409</v>
      </c>
      <c r="Z117">
        <v>8544389</v>
      </c>
      <c r="AA117">
        <f t="shared" si="3"/>
        <v>29183</v>
      </c>
      <c r="AB117">
        <f t="shared" si="2"/>
        <v>0.36992394014946789</v>
      </c>
    </row>
    <row r="118" spans="1:28">
      <c r="A118" t="s">
        <v>35</v>
      </c>
      <c r="B118" s="2">
        <v>44593</v>
      </c>
      <c r="C118" s="2">
        <v>44562</v>
      </c>
      <c r="D118" s="2">
        <v>44670</v>
      </c>
      <c r="E118">
        <v>10231371</v>
      </c>
      <c r="F118">
        <v>10212836</v>
      </c>
      <c r="G118">
        <v>-18535</v>
      </c>
      <c r="H118">
        <v>98.97</v>
      </c>
      <c r="I118">
        <v>30000</v>
      </c>
      <c r="J118" t="s">
        <v>29</v>
      </c>
      <c r="K118">
        <v>3.05</v>
      </c>
      <c r="L118">
        <v>3.08</v>
      </c>
      <c r="M118">
        <v>3323549</v>
      </c>
      <c r="N118">
        <v>3312278</v>
      </c>
      <c r="O118">
        <v>93</v>
      </c>
      <c r="P118">
        <v>93</v>
      </c>
      <c r="Q118">
        <v>562770</v>
      </c>
      <c r="R118">
        <v>568575</v>
      </c>
      <c r="S118">
        <v>2755701</v>
      </c>
      <c r="T118">
        <v>2776272</v>
      </c>
      <c r="U118">
        <v>0</v>
      </c>
      <c r="V118">
        <v>0</v>
      </c>
      <c r="W118">
        <v>0</v>
      </c>
      <c r="X118">
        <v>0</v>
      </c>
      <c r="Y118">
        <v>3589258</v>
      </c>
      <c r="Z118">
        <v>3555618</v>
      </c>
      <c r="AA118">
        <f t="shared" si="3"/>
        <v>5805</v>
      </c>
      <c r="AB118">
        <f t="shared" si="2"/>
        <v>1.0315048776587237</v>
      </c>
    </row>
    <row r="119" spans="1:28">
      <c r="A119" t="s">
        <v>36</v>
      </c>
      <c r="B119" s="2">
        <v>44593</v>
      </c>
      <c r="C119" s="2">
        <v>44562</v>
      </c>
      <c r="D119" s="2">
        <v>44670</v>
      </c>
      <c r="E119">
        <v>11812506</v>
      </c>
      <c r="F119">
        <v>11842135</v>
      </c>
      <c r="G119">
        <v>29629</v>
      </c>
      <c r="H119">
        <v>82</v>
      </c>
      <c r="I119">
        <v>30000</v>
      </c>
      <c r="J119" t="s">
        <v>29</v>
      </c>
      <c r="K119">
        <v>1.49</v>
      </c>
      <c r="L119">
        <v>1.52</v>
      </c>
      <c r="M119">
        <v>5570413</v>
      </c>
      <c r="N119">
        <v>5588163</v>
      </c>
      <c r="O119">
        <v>0</v>
      </c>
      <c r="P119">
        <v>0</v>
      </c>
      <c r="Q119">
        <v>456444</v>
      </c>
      <c r="R119">
        <v>435897</v>
      </c>
      <c r="S119">
        <v>1321570</v>
      </c>
      <c r="T119">
        <v>1322743</v>
      </c>
      <c r="U119">
        <v>0</v>
      </c>
      <c r="V119">
        <v>0</v>
      </c>
      <c r="W119">
        <v>0</v>
      </c>
      <c r="X119">
        <v>0</v>
      </c>
      <c r="Y119">
        <v>4464079</v>
      </c>
      <c r="Z119">
        <v>4495332</v>
      </c>
      <c r="AA119">
        <f t="shared" si="3"/>
        <v>-20547</v>
      </c>
      <c r="AB119">
        <f t="shared" si="2"/>
        <v>-4.501537976181087</v>
      </c>
    </row>
    <row r="120" spans="1:28">
      <c r="A120" t="s">
        <v>37</v>
      </c>
      <c r="B120" s="2">
        <v>44593</v>
      </c>
      <c r="C120" s="2">
        <v>44562</v>
      </c>
      <c r="D120" s="2">
        <v>44670</v>
      </c>
      <c r="E120">
        <v>65259284</v>
      </c>
      <c r="F120">
        <v>64902417</v>
      </c>
      <c r="G120">
        <v>-356867</v>
      </c>
      <c r="H120">
        <v>87.15</v>
      </c>
      <c r="I120">
        <v>590000</v>
      </c>
      <c r="J120" t="s">
        <v>29</v>
      </c>
      <c r="K120">
        <v>52.18</v>
      </c>
      <c r="L120">
        <v>52.77</v>
      </c>
      <c r="M120">
        <v>30539030</v>
      </c>
      <c r="N120">
        <v>30621855</v>
      </c>
      <c r="O120">
        <v>725</v>
      </c>
      <c r="P120">
        <v>715</v>
      </c>
      <c r="Q120">
        <v>7981269</v>
      </c>
      <c r="R120">
        <v>7827250</v>
      </c>
      <c r="S120">
        <v>6937785</v>
      </c>
      <c r="T120">
        <v>6859823</v>
      </c>
      <c r="U120">
        <v>0</v>
      </c>
      <c r="V120">
        <v>0</v>
      </c>
      <c r="W120">
        <v>0</v>
      </c>
      <c r="X120">
        <v>0</v>
      </c>
      <c r="Y120">
        <v>19800475</v>
      </c>
      <c r="Z120">
        <v>19592774</v>
      </c>
      <c r="AA120">
        <f t="shared" si="3"/>
        <v>-154019</v>
      </c>
      <c r="AB120">
        <f t="shared" si="2"/>
        <v>-1.9297557819439493</v>
      </c>
    </row>
    <row r="121" spans="1:28">
      <c r="A121" t="s">
        <v>38</v>
      </c>
      <c r="B121" s="2">
        <v>44593</v>
      </c>
      <c r="C121" s="2">
        <v>44562</v>
      </c>
      <c r="D121" s="2">
        <v>44670</v>
      </c>
      <c r="E121">
        <v>43996154</v>
      </c>
      <c r="F121">
        <v>43660826</v>
      </c>
      <c r="G121">
        <v>-335328</v>
      </c>
      <c r="H121">
        <v>90.32</v>
      </c>
      <c r="I121">
        <v>410000</v>
      </c>
      <c r="J121" t="s">
        <v>29</v>
      </c>
      <c r="K121">
        <v>17.829999999999998</v>
      </c>
      <c r="L121">
        <v>18.239999999999998</v>
      </c>
      <c r="M121">
        <v>7683913</v>
      </c>
      <c r="N121">
        <v>7706947</v>
      </c>
      <c r="O121">
        <v>185</v>
      </c>
      <c r="P121">
        <v>183</v>
      </c>
      <c r="Q121">
        <v>16329344</v>
      </c>
      <c r="R121">
        <v>16163782</v>
      </c>
      <c r="S121">
        <v>10669413</v>
      </c>
      <c r="T121">
        <v>10567195</v>
      </c>
      <c r="U121">
        <v>0</v>
      </c>
      <c r="V121">
        <v>0</v>
      </c>
      <c r="W121">
        <v>0</v>
      </c>
      <c r="X121">
        <v>0</v>
      </c>
      <c r="Y121">
        <v>9313299</v>
      </c>
      <c r="Z121">
        <v>9222719</v>
      </c>
      <c r="AA121">
        <f t="shared" si="3"/>
        <v>-165562</v>
      </c>
      <c r="AB121">
        <f t="shared" si="2"/>
        <v>-1.0138925360381901</v>
      </c>
    </row>
    <row r="122" spans="1:28">
      <c r="A122" t="s">
        <v>39</v>
      </c>
      <c r="B122" s="2">
        <v>44593</v>
      </c>
      <c r="C122" s="2">
        <v>44562</v>
      </c>
      <c r="D122" s="2">
        <v>44670</v>
      </c>
      <c r="E122">
        <v>24015033</v>
      </c>
      <c r="F122">
        <v>23792381</v>
      </c>
      <c r="G122">
        <v>-222652</v>
      </c>
      <c r="H122">
        <v>88.84</v>
      </c>
      <c r="I122">
        <v>220000</v>
      </c>
      <c r="J122" t="s">
        <v>29</v>
      </c>
      <c r="K122">
        <v>13.77</v>
      </c>
      <c r="L122">
        <v>13.99</v>
      </c>
      <c r="M122">
        <v>5606499</v>
      </c>
      <c r="N122">
        <v>5683302</v>
      </c>
      <c r="O122">
        <v>2</v>
      </c>
      <c r="P122">
        <v>0</v>
      </c>
      <c r="Q122">
        <v>6239867</v>
      </c>
      <c r="R122">
        <v>6136945</v>
      </c>
      <c r="S122">
        <v>2330334</v>
      </c>
      <c r="T122">
        <v>2223499</v>
      </c>
      <c r="U122">
        <v>0</v>
      </c>
      <c r="V122">
        <v>0</v>
      </c>
      <c r="W122">
        <v>0</v>
      </c>
      <c r="X122">
        <v>0</v>
      </c>
      <c r="Y122">
        <v>9838331</v>
      </c>
      <c r="Z122">
        <v>9748635</v>
      </c>
      <c r="AA122">
        <f t="shared" si="3"/>
        <v>-102922</v>
      </c>
      <c r="AB122">
        <f t="shared" si="2"/>
        <v>-1.6494261816798341</v>
      </c>
    </row>
    <row r="123" spans="1:28">
      <c r="A123" t="s">
        <v>40</v>
      </c>
      <c r="B123" s="2">
        <v>44593</v>
      </c>
      <c r="C123" s="2">
        <v>44562</v>
      </c>
      <c r="D123" s="2">
        <v>44670</v>
      </c>
      <c r="E123">
        <v>77215792</v>
      </c>
      <c r="F123">
        <v>76523117</v>
      </c>
      <c r="G123">
        <v>-692675</v>
      </c>
      <c r="H123">
        <v>82.11</v>
      </c>
      <c r="I123">
        <v>770000</v>
      </c>
      <c r="J123" t="s">
        <v>29</v>
      </c>
      <c r="K123">
        <v>48.87</v>
      </c>
      <c r="L123">
        <v>49.64</v>
      </c>
      <c r="M123">
        <v>15136663</v>
      </c>
      <c r="N123">
        <v>15082785</v>
      </c>
      <c r="O123">
        <v>0</v>
      </c>
      <c r="P123">
        <v>0</v>
      </c>
      <c r="Q123">
        <v>20684045</v>
      </c>
      <c r="R123">
        <v>20307524</v>
      </c>
      <c r="S123">
        <v>6037258</v>
      </c>
      <c r="T123">
        <v>6029470</v>
      </c>
      <c r="U123">
        <v>0</v>
      </c>
      <c r="V123">
        <v>0</v>
      </c>
      <c r="W123">
        <v>0</v>
      </c>
      <c r="X123">
        <v>0</v>
      </c>
      <c r="Y123">
        <v>35357826</v>
      </c>
      <c r="Z123">
        <v>35103338</v>
      </c>
      <c r="AA123">
        <f t="shared" si="3"/>
        <v>-376521</v>
      </c>
      <c r="AB123">
        <f t="shared" si="2"/>
        <v>-1.8203451017438803</v>
      </c>
    </row>
    <row r="124" spans="1:28">
      <c r="A124" t="s">
        <v>41</v>
      </c>
      <c r="B124" s="2">
        <v>44593</v>
      </c>
      <c r="C124" s="2">
        <v>44562</v>
      </c>
      <c r="D124" s="2">
        <v>44670</v>
      </c>
      <c r="E124">
        <v>92427309</v>
      </c>
      <c r="F124">
        <v>92237240</v>
      </c>
      <c r="G124">
        <v>-190069</v>
      </c>
      <c r="H124">
        <v>85.97</v>
      </c>
      <c r="I124">
        <v>490000</v>
      </c>
      <c r="J124" t="s">
        <v>29</v>
      </c>
      <c r="K124">
        <v>55.53</v>
      </c>
      <c r="L124">
        <v>56.02</v>
      </c>
      <c r="M124">
        <v>20129289</v>
      </c>
      <c r="N124">
        <v>20138484</v>
      </c>
      <c r="O124">
        <v>0</v>
      </c>
      <c r="P124">
        <v>0</v>
      </c>
      <c r="Q124">
        <v>29317539</v>
      </c>
      <c r="R124">
        <v>29301925</v>
      </c>
      <c r="S124">
        <v>6646400</v>
      </c>
      <c r="T124">
        <v>6665130</v>
      </c>
      <c r="U124">
        <v>0</v>
      </c>
      <c r="V124">
        <v>0</v>
      </c>
      <c r="W124">
        <v>0</v>
      </c>
      <c r="X124">
        <v>0</v>
      </c>
      <c r="Y124">
        <v>36334081</v>
      </c>
      <c r="Z124">
        <v>36131701</v>
      </c>
      <c r="AA124">
        <f t="shared" si="3"/>
        <v>-15614</v>
      </c>
      <c r="AB124">
        <f t="shared" si="2"/>
        <v>-5.3258221981046905E-2</v>
      </c>
    </row>
    <row r="125" spans="1:28">
      <c r="A125" t="s">
        <v>42</v>
      </c>
      <c r="B125" s="2">
        <v>44593</v>
      </c>
      <c r="C125" s="2">
        <v>44562</v>
      </c>
      <c r="D125" s="2">
        <v>44670</v>
      </c>
      <c r="E125">
        <v>34266908</v>
      </c>
      <c r="F125">
        <v>34220925</v>
      </c>
      <c r="G125">
        <v>-45983</v>
      </c>
      <c r="H125">
        <v>69.349999999999994</v>
      </c>
      <c r="I125">
        <v>110000</v>
      </c>
      <c r="J125" t="s">
        <v>29</v>
      </c>
      <c r="K125">
        <v>27.12</v>
      </c>
      <c r="L125">
        <v>27.23</v>
      </c>
      <c r="M125">
        <v>9522065</v>
      </c>
      <c r="N125">
        <v>9620974</v>
      </c>
      <c r="O125">
        <v>1367</v>
      </c>
      <c r="P125">
        <v>1330</v>
      </c>
      <c r="Q125">
        <v>11849869</v>
      </c>
      <c r="R125">
        <v>11846621</v>
      </c>
      <c r="S125">
        <v>0</v>
      </c>
      <c r="T125">
        <v>0</v>
      </c>
      <c r="U125">
        <v>0</v>
      </c>
      <c r="V125">
        <v>0</v>
      </c>
      <c r="W125">
        <v>1103707</v>
      </c>
      <c r="X125">
        <v>1098953</v>
      </c>
      <c r="Y125">
        <v>11789900</v>
      </c>
      <c r="Z125">
        <v>11653047</v>
      </c>
      <c r="AA125">
        <f t="shared" si="3"/>
        <v>-3248</v>
      </c>
      <c r="AB125">
        <f t="shared" si="2"/>
        <v>-2.7409585709344129E-2</v>
      </c>
    </row>
    <row r="126" spans="1:28">
      <c r="A126" t="s">
        <v>43</v>
      </c>
      <c r="B126" s="2">
        <v>44593</v>
      </c>
      <c r="C126" s="2">
        <v>44562</v>
      </c>
      <c r="D126" s="2">
        <v>44670</v>
      </c>
      <c r="E126">
        <v>11912501</v>
      </c>
      <c r="F126">
        <v>11879353</v>
      </c>
      <c r="G126">
        <v>-33148</v>
      </c>
      <c r="H126">
        <v>93.21</v>
      </c>
      <c r="I126">
        <v>10000</v>
      </c>
      <c r="J126" t="s">
        <v>29</v>
      </c>
      <c r="K126">
        <v>1.7</v>
      </c>
      <c r="L126">
        <v>1.71</v>
      </c>
      <c r="M126">
        <v>5560199</v>
      </c>
      <c r="N126">
        <v>5589232</v>
      </c>
      <c r="O126">
        <v>0</v>
      </c>
      <c r="P126">
        <v>0</v>
      </c>
      <c r="Q126">
        <v>1149253</v>
      </c>
      <c r="R126">
        <v>1120579</v>
      </c>
      <c r="S126">
        <v>1355854</v>
      </c>
      <c r="T126">
        <v>1356526</v>
      </c>
      <c r="U126">
        <v>0</v>
      </c>
      <c r="V126">
        <v>0</v>
      </c>
      <c r="W126">
        <v>0</v>
      </c>
      <c r="X126">
        <v>0</v>
      </c>
      <c r="Y126">
        <v>3847195</v>
      </c>
      <c r="Z126">
        <v>3813016</v>
      </c>
      <c r="AA126">
        <f t="shared" si="3"/>
        <v>-28674</v>
      </c>
      <c r="AB126">
        <f t="shared" si="2"/>
        <v>-2.4950119773452841</v>
      </c>
    </row>
    <row r="127" spans="1:28">
      <c r="A127" t="s">
        <v>44</v>
      </c>
      <c r="B127" s="2">
        <v>44593</v>
      </c>
      <c r="C127" s="2">
        <v>44562</v>
      </c>
      <c r="D127" s="2">
        <v>44670</v>
      </c>
      <c r="E127">
        <v>32842995</v>
      </c>
      <c r="F127">
        <v>32546838</v>
      </c>
      <c r="G127">
        <v>-296157</v>
      </c>
      <c r="H127">
        <v>93.41</v>
      </c>
      <c r="I127">
        <v>140000</v>
      </c>
      <c r="J127" t="s">
        <v>29</v>
      </c>
      <c r="K127">
        <v>12.94</v>
      </c>
      <c r="L127">
        <v>13.08</v>
      </c>
      <c r="M127">
        <v>11063924</v>
      </c>
      <c r="N127">
        <v>11004185</v>
      </c>
      <c r="O127">
        <v>64</v>
      </c>
      <c r="P127">
        <v>62</v>
      </c>
      <c r="Q127">
        <v>1943167</v>
      </c>
      <c r="R127">
        <v>1883692</v>
      </c>
      <c r="S127">
        <v>6273295</v>
      </c>
      <c r="T127">
        <v>6234994</v>
      </c>
      <c r="U127">
        <v>0</v>
      </c>
      <c r="V127">
        <v>0</v>
      </c>
      <c r="W127">
        <v>0</v>
      </c>
      <c r="X127">
        <v>0</v>
      </c>
      <c r="Y127">
        <v>13562545</v>
      </c>
      <c r="Z127">
        <v>13423905</v>
      </c>
      <c r="AA127">
        <f t="shared" si="3"/>
        <v>-59475</v>
      </c>
      <c r="AB127">
        <f t="shared" si="2"/>
        <v>-3.060725094652184</v>
      </c>
    </row>
    <row r="128" spans="1:28">
      <c r="A128" t="s">
        <v>45</v>
      </c>
      <c r="B128" s="2">
        <v>44593</v>
      </c>
      <c r="C128" s="2">
        <v>44562</v>
      </c>
      <c r="D128" s="2">
        <v>44670</v>
      </c>
      <c r="E128">
        <v>37165646</v>
      </c>
      <c r="F128">
        <v>37102560</v>
      </c>
      <c r="G128">
        <v>-63086</v>
      </c>
      <c r="H128">
        <v>83.44</v>
      </c>
      <c r="I128">
        <v>170000</v>
      </c>
      <c r="J128" t="s">
        <v>29</v>
      </c>
      <c r="K128">
        <v>24.73</v>
      </c>
      <c r="L128">
        <v>24.9</v>
      </c>
      <c r="M128">
        <v>11718655</v>
      </c>
      <c r="N128">
        <v>11798232</v>
      </c>
      <c r="O128">
        <v>139</v>
      </c>
      <c r="P128">
        <v>123</v>
      </c>
      <c r="Q128">
        <v>8666491</v>
      </c>
      <c r="R128">
        <v>8618570</v>
      </c>
      <c r="S128">
        <v>5291338</v>
      </c>
      <c r="T128">
        <v>5308297</v>
      </c>
      <c r="U128">
        <v>0</v>
      </c>
      <c r="V128">
        <v>0</v>
      </c>
      <c r="W128">
        <v>0</v>
      </c>
      <c r="X128">
        <v>0</v>
      </c>
      <c r="Y128">
        <v>11489023</v>
      </c>
      <c r="Z128">
        <v>11377338</v>
      </c>
      <c r="AA128">
        <f t="shared" si="3"/>
        <v>-47921</v>
      </c>
      <c r="AB128">
        <f t="shared" si="2"/>
        <v>-0.55294582317110808</v>
      </c>
    </row>
    <row r="129" spans="1:28">
      <c r="A129" t="s">
        <v>46</v>
      </c>
      <c r="B129" s="2">
        <v>44593</v>
      </c>
      <c r="C129" s="2">
        <v>44562</v>
      </c>
      <c r="D129" s="2">
        <v>44670</v>
      </c>
      <c r="E129">
        <v>62951400</v>
      </c>
      <c r="F129">
        <v>62660650</v>
      </c>
      <c r="G129">
        <v>-290750</v>
      </c>
      <c r="H129">
        <v>91.83</v>
      </c>
      <c r="I129">
        <v>660000</v>
      </c>
      <c r="J129" t="s">
        <v>29</v>
      </c>
      <c r="K129">
        <v>48.04</v>
      </c>
      <c r="L129">
        <v>48.7</v>
      </c>
      <c r="M129">
        <v>21502619</v>
      </c>
      <c r="N129">
        <v>21609275</v>
      </c>
      <c r="O129">
        <v>183</v>
      </c>
      <c r="P129">
        <v>181</v>
      </c>
      <c r="Q129">
        <v>11378812</v>
      </c>
      <c r="R129">
        <v>11183574</v>
      </c>
      <c r="S129">
        <v>6395775</v>
      </c>
      <c r="T129">
        <v>6436509</v>
      </c>
      <c r="U129">
        <v>0</v>
      </c>
      <c r="V129">
        <v>0</v>
      </c>
      <c r="W129">
        <v>0</v>
      </c>
      <c r="X129">
        <v>0</v>
      </c>
      <c r="Y129">
        <v>23674011</v>
      </c>
      <c r="Z129">
        <v>23431111</v>
      </c>
      <c r="AA129">
        <f t="shared" si="3"/>
        <v>-195238</v>
      </c>
      <c r="AB129">
        <f t="shared" si="2"/>
        <v>-1.7158030205613732</v>
      </c>
    </row>
    <row r="130" spans="1:28">
      <c r="A130" t="s">
        <v>47</v>
      </c>
      <c r="B130" s="2">
        <v>44593</v>
      </c>
      <c r="C130" s="2">
        <v>44562</v>
      </c>
      <c r="D130" s="2">
        <v>44670</v>
      </c>
      <c r="E130">
        <v>80115336</v>
      </c>
      <c r="F130">
        <v>79547250</v>
      </c>
      <c r="G130">
        <v>-568086</v>
      </c>
      <c r="H130">
        <v>93.55</v>
      </c>
      <c r="I130">
        <v>450000</v>
      </c>
      <c r="J130" t="s">
        <v>29</v>
      </c>
      <c r="K130">
        <v>48.86</v>
      </c>
      <c r="L130">
        <v>49.31</v>
      </c>
      <c r="M130">
        <v>28003817</v>
      </c>
      <c r="N130">
        <v>27585280</v>
      </c>
      <c r="O130">
        <v>316</v>
      </c>
      <c r="P130">
        <v>310</v>
      </c>
      <c r="Q130">
        <v>17762548</v>
      </c>
      <c r="R130">
        <v>17898703</v>
      </c>
      <c r="S130">
        <v>10038454</v>
      </c>
      <c r="T130">
        <v>10142269</v>
      </c>
      <c r="U130">
        <v>52494</v>
      </c>
      <c r="V130">
        <v>53510</v>
      </c>
      <c r="W130">
        <v>0</v>
      </c>
      <c r="X130">
        <v>0</v>
      </c>
      <c r="Y130">
        <v>24257707</v>
      </c>
      <c r="Z130">
        <v>23867178</v>
      </c>
      <c r="AA130">
        <f t="shared" si="3"/>
        <v>136155</v>
      </c>
      <c r="AB130">
        <f t="shared" si="2"/>
        <v>0.76652854083772215</v>
      </c>
    </row>
    <row r="131" spans="1:28">
      <c r="A131" t="s">
        <v>48</v>
      </c>
      <c r="B131" s="2">
        <v>44593</v>
      </c>
      <c r="C131" s="2">
        <v>44562</v>
      </c>
      <c r="D131" s="2">
        <v>44670</v>
      </c>
      <c r="E131">
        <v>100069603</v>
      </c>
      <c r="F131">
        <v>100581601</v>
      </c>
      <c r="G131">
        <v>511998</v>
      </c>
      <c r="H131">
        <v>83.83</v>
      </c>
      <c r="I131">
        <v>790000</v>
      </c>
      <c r="J131" t="s">
        <v>29</v>
      </c>
      <c r="K131">
        <v>50.81</v>
      </c>
      <c r="L131">
        <v>51.6</v>
      </c>
      <c r="M131">
        <v>36034430</v>
      </c>
      <c r="N131">
        <v>36659560</v>
      </c>
      <c r="O131">
        <v>0</v>
      </c>
      <c r="P131">
        <v>0</v>
      </c>
      <c r="Q131">
        <v>20736110</v>
      </c>
      <c r="R131">
        <v>20942068</v>
      </c>
      <c r="S131">
        <v>11124399</v>
      </c>
      <c r="T131">
        <v>11070126</v>
      </c>
      <c r="U131">
        <v>0</v>
      </c>
      <c r="V131">
        <v>0</v>
      </c>
      <c r="W131">
        <v>0</v>
      </c>
      <c r="X131">
        <v>0</v>
      </c>
      <c r="Y131">
        <v>32174664</v>
      </c>
      <c r="Z131">
        <v>31909847</v>
      </c>
      <c r="AA131">
        <f t="shared" si="3"/>
        <v>205958</v>
      </c>
      <c r="AB131">
        <f t="shared" ref="AB131:AB194" si="4">(($R131-$Q131)/$Q131)*100</f>
        <v>0.99323354283903775</v>
      </c>
    </row>
    <row r="132" spans="1:28">
      <c r="A132" t="s">
        <v>49</v>
      </c>
      <c r="B132" s="2">
        <v>44593</v>
      </c>
      <c r="C132" s="2">
        <v>44562</v>
      </c>
      <c r="D132" s="2">
        <v>44670</v>
      </c>
      <c r="E132">
        <v>64084380</v>
      </c>
      <c r="F132">
        <v>63963808</v>
      </c>
      <c r="G132">
        <v>-120572</v>
      </c>
      <c r="H132">
        <v>87.94</v>
      </c>
      <c r="I132">
        <v>580000</v>
      </c>
      <c r="J132" t="s">
        <v>29</v>
      </c>
      <c r="K132">
        <v>40.26</v>
      </c>
      <c r="L132">
        <v>40.840000000000003</v>
      </c>
      <c r="M132">
        <v>18036076</v>
      </c>
      <c r="N132">
        <v>18268262</v>
      </c>
      <c r="O132">
        <v>21</v>
      </c>
      <c r="P132">
        <v>17</v>
      </c>
      <c r="Q132">
        <v>19143370</v>
      </c>
      <c r="R132">
        <v>19026856</v>
      </c>
      <c r="S132">
        <v>5813800</v>
      </c>
      <c r="T132">
        <v>5895131</v>
      </c>
      <c r="U132">
        <v>0</v>
      </c>
      <c r="V132">
        <v>0</v>
      </c>
      <c r="W132">
        <v>0</v>
      </c>
      <c r="X132">
        <v>0</v>
      </c>
      <c r="Y132">
        <v>21091113</v>
      </c>
      <c r="Z132">
        <v>20773542</v>
      </c>
      <c r="AA132">
        <f t="shared" ref="AA132:AA195" si="5">$R132-$Q132</f>
        <v>-116514</v>
      </c>
      <c r="AB132">
        <f t="shared" si="4"/>
        <v>-0.60863891780809753</v>
      </c>
    </row>
    <row r="133" spans="1:28">
      <c r="A133" t="s">
        <v>50</v>
      </c>
      <c r="B133" s="2">
        <v>44593</v>
      </c>
      <c r="C133" s="2">
        <v>44562</v>
      </c>
      <c r="D133" s="2">
        <v>44670</v>
      </c>
      <c r="E133">
        <v>56477603</v>
      </c>
      <c r="F133">
        <v>56347561</v>
      </c>
      <c r="G133">
        <v>-130042</v>
      </c>
      <c r="H133">
        <v>86.54</v>
      </c>
      <c r="I133">
        <v>610000</v>
      </c>
      <c r="J133" t="s">
        <v>29</v>
      </c>
      <c r="K133">
        <v>35.450000000000003</v>
      </c>
      <c r="L133">
        <v>36.06</v>
      </c>
      <c r="M133">
        <v>15440662</v>
      </c>
      <c r="N133">
        <v>15583324</v>
      </c>
      <c r="O133">
        <v>300</v>
      </c>
      <c r="P133">
        <v>290</v>
      </c>
      <c r="Q133">
        <v>15979046</v>
      </c>
      <c r="R133">
        <v>15804656</v>
      </c>
      <c r="S133">
        <v>2546902</v>
      </c>
      <c r="T133">
        <v>2597378</v>
      </c>
      <c r="U133">
        <v>0</v>
      </c>
      <c r="V133">
        <v>0</v>
      </c>
      <c r="W133">
        <v>0</v>
      </c>
      <c r="X133">
        <v>0</v>
      </c>
      <c r="Y133">
        <v>22510693</v>
      </c>
      <c r="Z133">
        <v>22361913</v>
      </c>
      <c r="AA133">
        <f t="shared" si="5"/>
        <v>-174390</v>
      </c>
      <c r="AB133">
        <f t="shared" si="4"/>
        <v>-1.0913667812208565</v>
      </c>
    </row>
    <row r="134" spans="1:28">
      <c r="A134" t="s">
        <v>28</v>
      </c>
      <c r="B134" s="2">
        <v>44621</v>
      </c>
      <c r="C134" s="2">
        <v>44593</v>
      </c>
      <c r="D134" s="2">
        <v>44693</v>
      </c>
      <c r="E134">
        <v>83256544</v>
      </c>
      <c r="F134">
        <v>83120725</v>
      </c>
      <c r="G134">
        <v>-135819</v>
      </c>
      <c r="H134">
        <v>90.01</v>
      </c>
      <c r="I134">
        <v>510000</v>
      </c>
      <c r="J134" t="s">
        <v>29</v>
      </c>
      <c r="K134">
        <v>51.03</v>
      </c>
      <c r="L134">
        <v>51.54</v>
      </c>
      <c r="M134">
        <v>31321286</v>
      </c>
      <c r="N134">
        <v>31366746</v>
      </c>
      <c r="O134">
        <v>0</v>
      </c>
      <c r="P134">
        <v>0</v>
      </c>
      <c r="Q134">
        <v>13803355</v>
      </c>
      <c r="R134">
        <v>13692242</v>
      </c>
      <c r="S134">
        <v>9307279</v>
      </c>
      <c r="T134">
        <v>9299811</v>
      </c>
      <c r="U134">
        <v>0</v>
      </c>
      <c r="V134">
        <v>0</v>
      </c>
      <c r="W134">
        <v>0</v>
      </c>
      <c r="X134">
        <v>0</v>
      </c>
      <c r="Y134">
        <v>28824624</v>
      </c>
      <c r="Z134">
        <v>28761926</v>
      </c>
      <c r="AA134">
        <f t="shared" si="5"/>
        <v>-111113</v>
      </c>
      <c r="AB134">
        <f t="shared" si="4"/>
        <v>-0.80497096539210933</v>
      </c>
    </row>
    <row r="135" spans="1:28">
      <c r="A135" t="s">
        <v>30</v>
      </c>
      <c r="B135" s="2">
        <v>44621</v>
      </c>
      <c r="C135" s="2">
        <v>44593</v>
      </c>
      <c r="D135" s="2">
        <v>44693</v>
      </c>
      <c r="E135">
        <v>24007214</v>
      </c>
      <c r="F135">
        <v>24045498</v>
      </c>
      <c r="G135">
        <v>38284</v>
      </c>
      <c r="H135">
        <v>93.34</v>
      </c>
      <c r="I135">
        <v>60000</v>
      </c>
      <c r="J135" t="s">
        <v>29</v>
      </c>
      <c r="K135">
        <v>4.9000000000000004</v>
      </c>
      <c r="L135">
        <v>4.96</v>
      </c>
      <c r="M135">
        <v>9984555</v>
      </c>
      <c r="N135">
        <v>10043796</v>
      </c>
      <c r="O135">
        <v>0</v>
      </c>
      <c r="P135">
        <v>0</v>
      </c>
      <c r="Q135">
        <v>2567962</v>
      </c>
      <c r="R135">
        <v>2501259</v>
      </c>
      <c r="S135">
        <v>3188296</v>
      </c>
      <c r="T135">
        <v>3210135</v>
      </c>
      <c r="U135">
        <v>0</v>
      </c>
      <c r="V135">
        <v>0</v>
      </c>
      <c r="W135">
        <v>0</v>
      </c>
      <c r="X135">
        <v>0</v>
      </c>
      <c r="Y135">
        <v>8266401</v>
      </c>
      <c r="Z135">
        <v>8290308</v>
      </c>
      <c r="AA135">
        <f t="shared" si="5"/>
        <v>-66703</v>
      </c>
      <c r="AB135">
        <f t="shared" si="4"/>
        <v>-2.5975072839862898</v>
      </c>
    </row>
    <row r="136" spans="1:28">
      <c r="A136" t="s">
        <v>31</v>
      </c>
      <c r="B136" s="2">
        <v>44621</v>
      </c>
      <c r="C136" s="2">
        <v>44593</v>
      </c>
      <c r="D136" s="2">
        <v>44693</v>
      </c>
      <c r="E136">
        <v>85871117</v>
      </c>
      <c r="F136">
        <v>86319101</v>
      </c>
      <c r="G136">
        <v>447984</v>
      </c>
      <c r="H136">
        <v>81.28</v>
      </c>
      <c r="I136">
        <v>710000</v>
      </c>
      <c r="J136" t="s">
        <v>29</v>
      </c>
      <c r="K136">
        <v>33.94</v>
      </c>
      <c r="L136">
        <v>34.65</v>
      </c>
      <c r="M136">
        <v>37096283</v>
      </c>
      <c r="N136">
        <v>37414631</v>
      </c>
      <c r="O136">
        <v>0</v>
      </c>
      <c r="P136">
        <v>0</v>
      </c>
      <c r="Q136">
        <v>10314616</v>
      </c>
      <c r="R136">
        <v>10189484</v>
      </c>
      <c r="S136">
        <v>5291655</v>
      </c>
      <c r="T136">
        <v>5438780</v>
      </c>
      <c r="U136">
        <v>0</v>
      </c>
      <c r="V136">
        <v>0</v>
      </c>
      <c r="W136">
        <v>0</v>
      </c>
      <c r="X136">
        <v>0</v>
      </c>
      <c r="Y136">
        <v>33168563</v>
      </c>
      <c r="Z136">
        <v>33276206</v>
      </c>
      <c r="AA136">
        <f t="shared" si="5"/>
        <v>-125132</v>
      </c>
      <c r="AB136">
        <f t="shared" si="4"/>
        <v>-1.2131522879765955</v>
      </c>
    </row>
    <row r="137" spans="1:28">
      <c r="A137" t="s">
        <v>32</v>
      </c>
      <c r="B137" s="2">
        <v>44621</v>
      </c>
      <c r="C137" s="2">
        <v>44593</v>
      </c>
      <c r="D137" s="2">
        <v>44693</v>
      </c>
      <c r="E137">
        <v>52111684</v>
      </c>
      <c r="F137">
        <v>52270702</v>
      </c>
      <c r="G137">
        <v>159018</v>
      </c>
      <c r="H137">
        <v>69.760000000000005</v>
      </c>
      <c r="I137">
        <v>440000</v>
      </c>
      <c r="J137" t="s">
        <v>29</v>
      </c>
      <c r="K137">
        <v>32.869999999999997</v>
      </c>
      <c r="L137">
        <v>33.31</v>
      </c>
      <c r="M137">
        <v>16189175</v>
      </c>
      <c r="N137">
        <v>16235553</v>
      </c>
      <c r="O137">
        <v>206</v>
      </c>
      <c r="P137">
        <v>204</v>
      </c>
      <c r="Q137">
        <v>16054137</v>
      </c>
      <c r="R137">
        <v>16130457</v>
      </c>
      <c r="S137">
        <v>0</v>
      </c>
      <c r="T137">
        <v>0</v>
      </c>
      <c r="U137">
        <v>0</v>
      </c>
      <c r="V137">
        <v>0</v>
      </c>
      <c r="W137">
        <v>2152799</v>
      </c>
      <c r="X137">
        <v>2152246</v>
      </c>
      <c r="Y137">
        <v>17715367</v>
      </c>
      <c r="Z137">
        <v>17752242</v>
      </c>
      <c r="AA137">
        <f t="shared" si="5"/>
        <v>76320</v>
      </c>
      <c r="AB137">
        <f t="shared" si="4"/>
        <v>0.4753914832046095</v>
      </c>
    </row>
    <row r="138" spans="1:28">
      <c r="A138" t="s">
        <v>33</v>
      </c>
      <c r="B138" s="2">
        <v>44621</v>
      </c>
      <c r="C138" s="2">
        <v>44593</v>
      </c>
      <c r="D138" s="2">
        <v>44693</v>
      </c>
      <c r="E138">
        <v>66989182</v>
      </c>
      <c r="F138">
        <v>67299141</v>
      </c>
      <c r="G138">
        <v>309959</v>
      </c>
      <c r="H138">
        <v>91.12</v>
      </c>
      <c r="I138">
        <v>600000</v>
      </c>
      <c r="J138" t="s">
        <v>29</v>
      </c>
      <c r="K138">
        <v>46.04</v>
      </c>
      <c r="L138">
        <v>46.64</v>
      </c>
      <c r="M138">
        <v>11771457</v>
      </c>
      <c r="N138">
        <v>11978342</v>
      </c>
      <c r="O138">
        <v>109</v>
      </c>
      <c r="P138">
        <v>78</v>
      </c>
      <c r="Q138">
        <v>23867662</v>
      </c>
      <c r="R138">
        <v>23787229</v>
      </c>
      <c r="S138">
        <v>5596715</v>
      </c>
      <c r="T138">
        <v>5584147</v>
      </c>
      <c r="U138">
        <v>0</v>
      </c>
      <c r="V138">
        <v>0</v>
      </c>
      <c r="W138">
        <v>0</v>
      </c>
      <c r="X138">
        <v>0</v>
      </c>
      <c r="Y138">
        <v>25753239</v>
      </c>
      <c r="Z138">
        <v>25949345</v>
      </c>
      <c r="AA138">
        <f t="shared" si="5"/>
        <v>-80433</v>
      </c>
      <c r="AB138">
        <f t="shared" si="4"/>
        <v>-0.33699572249682436</v>
      </c>
    </row>
    <row r="139" spans="1:28">
      <c r="A139" t="s">
        <v>34</v>
      </c>
      <c r="B139" s="2">
        <v>44621</v>
      </c>
      <c r="C139" s="2">
        <v>44593</v>
      </c>
      <c r="D139" s="2">
        <v>44693</v>
      </c>
      <c r="E139">
        <v>27269608</v>
      </c>
      <c r="F139">
        <v>27222801</v>
      </c>
      <c r="G139">
        <v>-46807</v>
      </c>
      <c r="H139">
        <v>87.44</v>
      </c>
      <c r="I139">
        <v>290000</v>
      </c>
      <c r="J139" t="s">
        <v>29</v>
      </c>
      <c r="K139">
        <v>22.64</v>
      </c>
      <c r="L139">
        <v>22.93</v>
      </c>
      <c r="M139">
        <v>5860741</v>
      </c>
      <c r="N139">
        <v>5921655</v>
      </c>
      <c r="O139">
        <v>19</v>
      </c>
      <c r="P139">
        <v>19</v>
      </c>
      <c r="Q139">
        <v>7918102</v>
      </c>
      <c r="R139">
        <v>7833440</v>
      </c>
      <c r="S139">
        <v>4946357</v>
      </c>
      <c r="T139">
        <v>4935801</v>
      </c>
      <c r="U139">
        <v>0</v>
      </c>
      <c r="V139">
        <v>0</v>
      </c>
      <c r="W139">
        <v>0</v>
      </c>
      <c r="X139">
        <v>0</v>
      </c>
      <c r="Y139">
        <v>8544389</v>
      </c>
      <c r="Z139">
        <v>8531886</v>
      </c>
      <c r="AA139">
        <f t="shared" si="5"/>
        <v>-84662</v>
      </c>
      <c r="AB139">
        <f t="shared" si="4"/>
        <v>-1.0692208814688167</v>
      </c>
    </row>
    <row r="140" spans="1:28">
      <c r="A140" t="s">
        <v>35</v>
      </c>
      <c r="B140" s="2">
        <v>44621</v>
      </c>
      <c r="C140" s="2">
        <v>44593</v>
      </c>
      <c r="D140" s="2">
        <v>44693</v>
      </c>
      <c r="E140">
        <v>10212836</v>
      </c>
      <c r="F140">
        <v>10170590</v>
      </c>
      <c r="G140">
        <v>-42246</v>
      </c>
      <c r="H140">
        <v>104.8</v>
      </c>
      <c r="I140">
        <v>40000</v>
      </c>
      <c r="J140" t="s">
        <v>29</v>
      </c>
      <c r="K140">
        <v>3.08</v>
      </c>
      <c r="L140">
        <v>3.12</v>
      </c>
      <c r="M140">
        <v>3312278</v>
      </c>
      <c r="N140">
        <v>3317454</v>
      </c>
      <c r="O140">
        <v>93</v>
      </c>
      <c r="P140">
        <v>93</v>
      </c>
      <c r="Q140">
        <v>568575</v>
      </c>
      <c r="R140">
        <v>558401</v>
      </c>
      <c r="S140">
        <v>2776272</v>
      </c>
      <c r="T140">
        <v>2773564</v>
      </c>
      <c r="U140">
        <v>0</v>
      </c>
      <c r="V140">
        <v>0</v>
      </c>
      <c r="W140">
        <v>0</v>
      </c>
      <c r="X140">
        <v>0</v>
      </c>
      <c r="Y140">
        <v>3555618</v>
      </c>
      <c r="Z140">
        <v>3521078</v>
      </c>
      <c r="AA140">
        <f t="shared" si="5"/>
        <v>-10174</v>
      </c>
      <c r="AB140">
        <f t="shared" si="4"/>
        <v>-1.7893857450644153</v>
      </c>
    </row>
    <row r="141" spans="1:28">
      <c r="A141" t="s">
        <v>36</v>
      </c>
      <c r="B141" s="2">
        <v>44621</v>
      </c>
      <c r="C141" s="2">
        <v>44593</v>
      </c>
      <c r="D141" s="2">
        <v>44693</v>
      </c>
      <c r="E141">
        <v>11842135</v>
      </c>
      <c r="F141">
        <v>11950121</v>
      </c>
      <c r="G141">
        <v>107986</v>
      </c>
      <c r="H141">
        <v>82.92</v>
      </c>
      <c r="I141">
        <v>30000</v>
      </c>
      <c r="J141" t="s">
        <v>29</v>
      </c>
      <c r="K141">
        <v>1.52</v>
      </c>
      <c r="L141">
        <v>1.55</v>
      </c>
      <c r="M141">
        <v>5588163</v>
      </c>
      <c r="N141">
        <v>5632326</v>
      </c>
      <c r="O141">
        <v>0</v>
      </c>
      <c r="P141">
        <v>0</v>
      </c>
      <c r="Q141">
        <v>435897</v>
      </c>
      <c r="R141">
        <v>430021</v>
      </c>
      <c r="S141">
        <v>1322743</v>
      </c>
      <c r="T141">
        <v>1321119</v>
      </c>
      <c r="U141">
        <v>0</v>
      </c>
      <c r="V141">
        <v>0</v>
      </c>
      <c r="W141">
        <v>0</v>
      </c>
      <c r="X141">
        <v>0</v>
      </c>
      <c r="Y141">
        <v>4495332</v>
      </c>
      <c r="Z141">
        <v>4566655</v>
      </c>
      <c r="AA141">
        <f t="shared" si="5"/>
        <v>-5876</v>
      </c>
      <c r="AB141">
        <f t="shared" si="4"/>
        <v>-1.3480248774366421</v>
      </c>
    </row>
    <row r="142" spans="1:28">
      <c r="A142" t="s">
        <v>37</v>
      </c>
      <c r="B142" s="2">
        <v>44621</v>
      </c>
      <c r="C142" s="2">
        <v>44593</v>
      </c>
      <c r="D142" s="2">
        <v>44693</v>
      </c>
      <c r="E142">
        <v>64902417</v>
      </c>
      <c r="F142">
        <v>64668703</v>
      </c>
      <c r="G142">
        <v>-233714</v>
      </c>
      <c r="H142">
        <v>89.5</v>
      </c>
      <c r="I142">
        <v>460000</v>
      </c>
      <c r="J142" t="s">
        <v>29</v>
      </c>
      <c r="K142">
        <v>52.77</v>
      </c>
      <c r="L142">
        <v>53.23</v>
      </c>
      <c r="M142">
        <v>30621855</v>
      </c>
      <c r="N142">
        <v>30664024</v>
      </c>
      <c r="O142">
        <v>715</v>
      </c>
      <c r="P142">
        <v>653</v>
      </c>
      <c r="Q142">
        <v>7827250</v>
      </c>
      <c r="R142">
        <v>7639731</v>
      </c>
      <c r="S142">
        <v>6859823</v>
      </c>
      <c r="T142">
        <v>6858477</v>
      </c>
      <c r="U142">
        <v>0</v>
      </c>
      <c r="V142">
        <v>0</v>
      </c>
      <c r="W142">
        <v>0</v>
      </c>
      <c r="X142">
        <v>0</v>
      </c>
      <c r="Y142">
        <v>19592774</v>
      </c>
      <c r="Z142">
        <v>19505818</v>
      </c>
      <c r="AA142">
        <f t="shared" si="5"/>
        <v>-187519</v>
      </c>
      <c r="AB142">
        <f t="shared" si="4"/>
        <v>-2.3957200804880388</v>
      </c>
    </row>
    <row r="143" spans="1:28">
      <c r="A143" t="s">
        <v>38</v>
      </c>
      <c r="B143" s="2">
        <v>44621</v>
      </c>
      <c r="C143" s="2">
        <v>44593</v>
      </c>
      <c r="D143" s="2">
        <v>44693</v>
      </c>
      <c r="E143">
        <v>43660826</v>
      </c>
      <c r="F143">
        <v>43374472</v>
      </c>
      <c r="G143">
        <v>-286354</v>
      </c>
      <c r="H143">
        <v>91.35</v>
      </c>
      <c r="I143">
        <v>190000</v>
      </c>
      <c r="J143" t="s">
        <v>29</v>
      </c>
      <c r="K143">
        <v>18.239999999999998</v>
      </c>
      <c r="L143">
        <v>18.43</v>
      </c>
      <c r="M143">
        <v>7706947</v>
      </c>
      <c r="N143">
        <v>7734058</v>
      </c>
      <c r="O143">
        <v>183</v>
      </c>
      <c r="P143">
        <v>165</v>
      </c>
      <c r="Q143">
        <v>16163782</v>
      </c>
      <c r="R143">
        <v>15953380</v>
      </c>
      <c r="S143">
        <v>10567195</v>
      </c>
      <c r="T143">
        <v>10520191</v>
      </c>
      <c r="U143">
        <v>0</v>
      </c>
      <c r="V143">
        <v>0</v>
      </c>
      <c r="W143">
        <v>0</v>
      </c>
      <c r="X143">
        <v>0</v>
      </c>
      <c r="Y143">
        <v>9222719</v>
      </c>
      <c r="Z143">
        <v>9166678</v>
      </c>
      <c r="AA143">
        <f t="shared" si="5"/>
        <v>-210402</v>
      </c>
      <c r="AB143">
        <f t="shared" si="4"/>
        <v>-1.3016879341728316</v>
      </c>
    </row>
    <row r="144" spans="1:28">
      <c r="A144" t="s">
        <v>39</v>
      </c>
      <c r="B144" s="2">
        <v>44621</v>
      </c>
      <c r="C144" s="2">
        <v>44593</v>
      </c>
      <c r="D144" s="2">
        <v>44693</v>
      </c>
      <c r="E144">
        <v>23792381</v>
      </c>
      <c r="F144">
        <v>23772644</v>
      </c>
      <c r="G144">
        <v>-19737</v>
      </c>
      <c r="H144">
        <v>89.15</v>
      </c>
      <c r="I144">
        <v>130000</v>
      </c>
      <c r="J144" t="s">
        <v>29</v>
      </c>
      <c r="K144">
        <v>13.99</v>
      </c>
      <c r="L144">
        <v>14.12</v>
      </c>
      <c r="M144">
        <v>5683302</v>
      </c>
      <c r="N144">
        <v>5709242</v>
      </c>
      <c r="O144">
        <v>0</v>
      </c>
      <c r="P144">
        <v>0</v>
      </c>
      <c r="Q144">
        <v>6136945</v>
      </c>
      <c r="R144">
        <v>6076759</v>
      </c>
      <c r="S144">
        <v>2223499</v>
      </c>
      <c r="T144">
        <v>2260124</v>
      </c>
      <c r="U144">
        <v>0</v>
      </c>
      <c r="V144">
        <v>0</v>
      </c>
      <c r="W144">
        <v>0</v>
      </c>
      <c r="X144">
        <v>0</v>
      </c>
      <c r="Y144">
        <v>9748635</v>
      </c>
      <c r="Z144">
        <v>9726519</v>
      </c>
      <c r="AA144">
        <f t="shared" si="5"/>
        <v>-60186</v>
      </c>
      <c r="AB144">
        <f t="shared" si="4"/>
        <v>-0.98071597513094877</v>
      </c>
    </row>
    <row r="145" spans="1:28">
      <c r="A145" t="s">
        <v>40</v>
      </c>
      <c r="B145" s="2">
        <v>44621</v>
      </c>
      <c r="C145" s="2">
        <v>44593</v>
      </c>
      <c r="D145" s="2">
        <v>44693</v>
      </c>
      <c r="E145">
        <v>76523117</v>
      </c>
      <c r="F145">
        <v>76758735</v>
      </c>
      <c r="G145">
        <v>235618</v>
      </c>
      <c r="H145">
        <v>84.35</v>
      </c>
      <c r="I145">
        <v>820000</v>
      </c>
      <c r="J145" t="s">
        <v>29</v>
      </c>
      <c r="K145">
        <v>49.64</v>
      </c>
      <c r="L145">
        <v>50.46</v>
      </c>
      <c r="M145">
        <v>15082785</v>
      </c>
      <c r="N145">
        <v>15080492</v>
      </c>
      <c r="O145">
        <v>0</v>
      </c>
      <c r="P145">
        <v>0</v>
      </c>
      <c r="Q145">
        <v>20307524</v>
      </c>
      <c r="R145">
        <v>19984148</v>
      </c>
      <c r="S145">
        <v>6029470</v>
      </c>
      <c r="T145">
        <v>6026898</v>
      </c>
      <c r="U145">
        <v>0</v>
      </c>
      <c r="V145">
        <v>0</v>
      </c>
      <c r="W145">
        <v>0</v>
      </c>
      <c r="X145">
        <v>0</v>
      </c>
      <c r="Y145">
        <v>35103338</v>
      </c>
      <c r="Z145">
        <v>35667197</v>
      </c>
      <c r="AA145">
        <f t="shared" si="5"/>
        <v>-323376</v>
      </c>
      <c r="AB145">
        <f t="shared" si="4"/>
        <v>-1.5923950157586912</v>
      </c>
    </row>
    <row r="146" spans="1:28">
      <c r="A146" t="s">
        <v>41</v>
      </c>
      <c r="B146" s="2">
        <v>44621</v>
      </c>
      <c r="C146" s="2">
        <v>44593</v>
      </c>
      <c r="D146" s="2">
        <v>44693</v>
      </c>
      <c r="E146">
        <v>92237240</v>
      </c>
      <c r="F146">
        <v>92299117</v>
      </c>
      <c r="G146">
        <v>61877</v>
      </c>
      <c r="H146">
        <v>87.65</v>
      </c>
      <c r="I146">
        <v>820000</v>
      </c>
      <c r="J146" t="s">
        <v>29</v>
      </c>
      <c r="K146">
        <v>56.02</v>
      </c>
      <c r="L146">
        <v>56.84</v>
      </c>
      <c r="M146">
        <v>20138484</v>
      </c>
      <c r="N146">
        <v>20274742</v>
      </c>
      <c r="O146">
        <v>0</v>
      </c>
      <c r="P146">
        <v>0</v>
      </c>
      <c r="Q146">
        <v>29301925</v>
      </c>
      <c r="R146">
        <v>28714243</v>
      </c>
      <c r="S146">
        <v>6665130</v>
      </c>
      <c r="T146">
        <v>6656723</v>
      </c>
      <c r="U146">
        <v>0</v>
      </c>
      <c r="V146">
        <v>0</v>
      </c>
      <c r="W146">
        <v>0</v>
      </c>
      <c r="X146">
        <v>0</v>
      </c>
      <c r="Y146">
        <v>36131701</v>
      </c>
      <c r="Z146">
        <v>36653409</v>
      </c>
      <c r="AA146">
        <f t="shared" si="5"/>
        <v>-587682</v>
      </c>
      <c r="AB146">
        <f t="shared" si="4"/>
        <v>-2.0056088465177631</v>
      </c>
    </row>
    <row r="147" spans="1:28">
      <c r="A147" t="s">
        <v>42</v>
      </c>
      <c r="B147" s="2">
        <v>44621</v>
      </c>
      <c r="C147" s="2">
        <v>44593</v>
      </c>
      <c r="D147" s="2">
        <v>44693</v>
      </c>
      <c r="E147">
        <v>34220925</v>
      </c>
      <c r="F147">
        <v>34265975</v>
      </c>
      <c r="G147">
        <v>45050</v>
      </c>
      <c r="H147">
        <v>69.290000000000006</v>
      </c>
      <c r="I147">
        <v>180000</v>
      </c>
      <c r="J147" t="s">
        <v>29</v>
      </c>
      <c r="K147">
        <v>27.23</v>
      </c>
      <c r="L147">
        <v>27.41</v>
      </c>
      <c r="M147">
        <v>9620974</v>
      </c>
      <c r="N147">
        <v>9693295</v>
      </c>
      <c r="O147">
        <v>1330</v>
      </c>
      <c r="P147">
        <v>1270</v>
      </c>
      <c r="Q147">
        <v>11846621</v>
      </c>
      <c r="R147">
        <v>11837333</v>
      </c>
      <c r="S147">
        <v>0</v>
      </c>
      <c r="T147">
        <v>0</v>
      </c>
      <c r="U147">
        <v>0</v>
      </c>
      <c r="V147">
        <v>0</v>
      </c>
      <c r="W147">
        <v>1098953</v>
      </c>
      <c r="X147">
        <v>1096405</v>
      </c>
      <c r="Y147">
        <v>11653047</v>
      </c>
      <c r="Z147">
        <v>11637672</v>
      </c>
      <c r="AA147">
        <f t="shared" si="5"/>
        <v>-9288</v>
      </c>
      <c r="AB147">
        <f t="shared" si="4"/>
        <v>-7.8402103013171437E-2</v>
      </c>
    </row>
    <row r="148" spans="1:28">
      <c r="A148" t="s">
        <v>43</v>
      </c>
      <c r="B148" s="2">
        <v>44621</v>
      </c>
      <c r="C148" s="2">
        <v>44593</v>
      </c>
      <c r="D148" s="2">
        <v>44693</v>
      </c>
      <c r="E148">
        <v>11879353</v>
      </c>
      <c r="F148">
        <v>11918383</v>
      </c>
      <c r="G148">
        <v>39030</v>
      </c>
      <c r="H148">
        <v>94.53</v>
      </c>
      <c r="I148">
        <v>20000</v>
      </c>
      <c r="J148" t="s">
        <v>29</v>
      </c>
      <c r="K148">
        <v>1.71</v>
      </c>
      <c r="L148">
        <v>1.73</v>
      </c>
      <c r="M148">
        <v>5589232</v>
      </c>
      <c r="N148">
        <v>5628807</v>
      </c>
      <c r="O148">
        <v>0</v>
      </c>
      <c r="P148">
        <v>0</v>
      </c>
      <c r="Q148">
        <v>1120579</v>
      </c>
      <c r="R148">
        <v>1099337</v>
      </c>
      <c r="S148">
        <v>1356526</v>
      </c>
      <c r="T148">
        <v>1358731</v>
      </c>
      <c r="U148">
        <v>0</v>
      </c>
      <c r="V148">
        <v>0</v>
      </c>
      <c r="W148">
        <v>0</v>
      </c>
      <c r="X148">
        <v>0</v>
      </c>
      <c r="Y148">
        <v>3813016</v>
      </c>
      <c r="Z148">
        <v>3831508</v>
      </c>
      <c r="AA148">
        <f t="shared" si="5"/>
        <v>-21242</v>
      </c>
      <c r="AB148">
        <f t="shared" si="4"/>
        <v>-1.8956271713105457</v>
      </c>
    </row>
    <row r="149" spans="1:28">
      <c r="A149" t="s">
        <v>44</v>
      </c>
      <c r="B149" s="2">
        <v>44621</v>
      </c>
      <c r="C149" s="2">
        <v>44593</v>
      </c>
      <c r="D149" s="2">
        <v>44693</v>
      </c>
      <c r="E149">
        <v>32546838</v>
      </c>
      <c r="F149">
        <v>32529493</v>
      </c>
      <c r="G149">
        <v>-17345</v>
      </c>
      <c r="H149">
        <v>95.64</v>
      </c>
      <c r="I149">
        <v>160000</v>
      </c>
      <c r="J149" t="s">
        <v>29</v>
      </c>
      <c r="K149">
        <v>13.08</v>
      </c>
      <c r="L149">
        <v>13.24</v>
      </c>
      <c r="M149">
        <v>11004185</v>
      </c>
      <c r="N149">
        <v>11069813</v>
      </c>
      <c r="O149">
        <v>62</v>
      </c>
      <c r="P149">
        <v>54</v>
      </c>
      <c r="Q149">
        <v>1883692</v>
      </c>
      <c r="R149">
        <v>1829944</v>
      </c>
      <c r="S149">
        <v>6234994</v>
      </c>
      <c r="T149">
        <v>6262887</v>
      </c>
      <c r="U149">
        <v>0</v>
      </c>
      <c r="V149">
        <v>0</v>
      </c>
      <c r="W149">
        <v>0</v>
      </c>
      <c r="X149">
        <v>0</v>
      </c>
      <c r="Y149">
        <v>13423905</v>
      </c>
      <c r="Z149">
        <v>13366795</v>
      </c>
      <c r="AA149">
        <f t="shared" si="5"/>
        <v>-53748</v>
      </c>
      <c r="AB149">
        <f t="shared" si="4"/>
        <v>-2.8533327104431088</v>
      </c>
    </row>
    <row r="150" spans="1:28">
      <c r="A150" t="s">
        <v>45</v>
      </c>
      <c r="B150" s="2">
        <v>44621</v>
      </c>
      <c r="C150" s="2">
        <v>44593</v>
      </c>
      <c r="D150" s="2">
        <v>44693</v>
      </c>
      <c r="E150">
        <v>37102560</v>
      </c>
      <c r="F150">
        <v>36986139</v>
      </c>
      <c r="G150">
        <v>-116421</v>
      </c>
      <c r="H150">
        <v>83.87</v>
      </c>
      <c r="I150">
        <v>310000</v>
      </c>
      <c r="J150" t="s">
        <v>29</v>
      </c>
      <c r="K150">
        <v>24.9</v>
      </c>
      <c r="L150">
        <v>25.21</v>
      </c>
      <c r="M150">
        <v>11798232</v>
      </c>
      <c r="N150">
        <v>11909677</v>
      </c>
      <c r="O150">
        <v>123</v>
      </c>
      <c r="P150">
        <v>117</v>
      </c>
      <c r="Q150">
        <v>8618570</v>
      </c>
      <c r="R150">
        <v>8546865</v>
      </c>
      <c r="S150">
        <v>5308297</v>
      </c>
      <c r="T150">
        <v>5301931</v>
      </c>
      <c r="U150">
        <v>0</v>
      </c>
      <c r="V150">
        <v>0</v>
      </c>
      <c r="W150">
        <v>0</v>
      </c>
      <c r="X150">
        <v>0</v>
      </c>
      <c r="Y150">
        <v>11377338</v>
      </c>
      <c r="Z150">
        <v>11227549</v>
      </c>
      <c r="AA150">
        <f t="shared" si="5"/>
        <v>-71705</v>
      </c>
      <c r="AB150">
        <f t="shared" si="4"/>
        <v>-0.83198256787378888</v>
      </c>
    </row>
    <row r="151" spans="1:28">
      <c r="A151" t="s">
        <v>46</v>
      </c>
      <c r="B151" s="2">
        <v>44621</v>
      </c>
      <c r="C151" s="2">
        <v>44593</v>
      </c>
      <c r="D151" s="2">
        <v>44693</v>
      </c>
      <c r="E151">
        <v>62660650</v>
      </c>
      <c r="F151">
        <v>63185395</v>
      </c>
      <c r="G151">
        <v>524745</v>
      </c>
      <c r="H151">
        <v>92.9</v>
      </c>
      <c r="I151">
        <v>610000</v>
      </c>
      <c r="J151" t="s">
        <v>29</v>
      </c>
      <c r="K151">
        <v>48.7</v>
      </c>
      <c r="L151">
        <v>49.31</v>
      </c>
      <c r="M151">
        <v>21609275</v>
      </c>
      <c r="N151">
        <v>21819804</v>
      </c>
      <c r="O151">
        <v>181</v>
      </c>
      <c r="P151">
        <v>170</v>
      </c>
      <c r="Q151">
        <v>11183574</v>
      </c>
      <c r="R151">
        <v>11073954</v>
      </c>
      <c r="S151">
        <v>6436509</v>
      </c>
      <c r="T151">
        <v>6545223</v>
      </c>
      <c r="U151">
        <v>0</v>
      </c>
      <c r="V151">
        <v>0</v>
      </c>
      <c r="W151">
        <v>0</v>
      </c>
      <c r="X151">
        <v>0</v>
      </c>
      <c r="Y151">
        <v>23431111</v>
      </c>
      <c r="Z151">
        <v>23746244</v>
      </c>
      <c r="AA151">
        <f t="shared" si="5"/>
        <v>-109620</v>
      </c>
      <c r="AB151">
        <f t="shared" si="4"/>
        <v>-0.98018755006226088</v>
      </c>
    </row>
    <row r="152" spans="1:28">
      <c r="A152" t="s">
        <v>47</v>
      </c>
      <c r="B152" s="2">
        <v>44621</v>
      </c>
      <c r="C152" s="2">
        <v>44593</v>
      </c>
      <c r="D152" s="2">
        <v>44693</v>
      </c>
      <c r="E152">
        <v>79547250</v>
      </c>
      <c r="F152">
        <v>78851939</v>
      </c>
      <c r="G152">
        <v>-695311</v>
      </c>
      <c r="H152">
        <v>95.25</v>
      </c>
      <c r="I152">
        <v>420000</v>
      </c>
      <c r="J152" t="s">
        <v>29</v>
      </c>
      <c r="K152">
        <v>49.31</v>
      </c>
      <c r="L152">
        <v>49.73</v>
      </c>
      <c r="M152">
        <v>27585280</v>
      </c>
      <c r="N152">
        <v>27403128</v>
      </c>
      <c r="O152">
        <v>310</v>
      </c>
      <c r="P152">
        <v>293</v>
      </c>
      <c r="Q152">
        <v>17898703</v>
      </c>
      <c r="R152">
        <v>17928621</v>
      </c>
      <c r="S152">
        <v>10142269</v>
      </c>
      <c r="T152">
        <v>9665252</v>
      </c>
      <c r="U152">
        <v>53510</v>
      </c>
      <c r="V152">
        <v>53545</v>
      </c>
      <c r="W152">
        <v>0</v>
      </c>
      <c r="X152">
        <v>0</v>
      </c>
      <c r="Y152">
        <v>23867178</v>
      </c>
      <c r="Z152">
        <v>23801100</v>
      </c>
      <c r="AA152">
        <f t="shared" si="5"/>
        <v>29918</v>
      </c>
      <c r="AB152">
        <f t="shared" si="4"/>
        <v>0.16715177630468531</v>
      </c>
    </row>
    <row r="153" spans="1:28">
      <c r="A153" t="s">
        <v>48</v>
      </c>
      <c r="B153" s="2">
        <v>44621</v>
      </c>
      <c r="C153" s="2">
        <v>44593</v>
      </c>
      <c r="D153" s="2">
        <v>44693</v>
      </c>
      <c r="E153">
        <v>100581601</v>
      </c>
      <c r="F153">
        <v>100605050</v>
      </c>
      <c r="G153">
        <v>23449</v>
      </c>
      <c r="H153">
        <v>84.28</v>
      </c>
      <c r="I153">
        <v>1400000</v>
      </c>
      <c r="J153" t="s">
        <v>29</v>
      </c>
      <c r="K153">
        <v>51.6</v>
      </c>
      <c r="L153">
        <v>53</v>
      </c>
      <c r="M153">
        <v>36659560</v>
      </c>
      <c r="N153">
        <v>37152947</v>
      </c>
      <c r="O153">
        <v>0</v>
      </c>
      <c r="P153">
        <v>0</v>
      </c>
      <c r="Q153">
        <v>20942068</v>
      </c>
      <c r="R153">
        <v>20543055</v>
      </c>
      <c r="S153">
        <v>11070126</v>
      </c>
      <c r="T153">
        <v>11047872</v>
      </c>
      <c r="U153">
        <v>0</v>
      </c>
      <c r="V153">
        <v>0</v>
      </c>
      <c r="W153">
        <v>0</v>
      </c>
      <c r="X153">
        <v>0</v>
      </c>
      <c r="Y153">
        <v>31909847</v>
      </c>
      <c r="Z153">
        <v>31861176</v>
      </c>
      <c r="AA153">
        <f t="shared" si="5"/>
        <v>-399013</v>
      </c>
      <c r="AB153">
        <f t="shared" si="4"/>
        <v>-1.9053180421341389</v>
      </c>
    </row>
    <row r="154" spans="1:28">
      <c r="A154" t="s">
        <v>49</v>
      </c>
      <c r="B154" s="2">
        <v>44621</v>
      </c>
      <c r="C154" s="2">
        <v>44593</v>
      </c>
      <c r="D154" s="2">
        <v>44693</v>
      </c>
      <c r="E154">
        <v>63963808</v>
      </c>
      <c r="F154">
        <v>64085951</v>
      </c>
      <c r="G154">
        <v>122143</v>
      </c>
      <c r="H154">
        <v>90.25</v>
      </c>
      <c r="I154">
        <v>950000</v>
      </c>
      <c r="J154" t="s">
        <v>29</v>
      </c>
      <c r="K154">
        <v>40.840000000000003</v>
      </c>
      <c r="L154">
        <v>41.79</v>
      </c>
      <c r="M154">
        <v>18268262</v>
      </c>
      <c r="N154">
        <v>18499362</v>
      </c>
      <c r="O154">
        <v>17</v>
      </c>
      <c r="P154">
        <v>9</v>
      </c>
      <c r="Q154">
        <v>19026856</v>
      </c>
      <c r="R154">
        <v>18762746</v>
      </c>
      <c r="S154">
        <v>5895131</v>
      </c>
      <c r="T154">
        <v>5955327</v>
      </c>
      <c r="U154">
        <v>0</v>
      </c>
      <c r="V154">
        <v>0</v>
      </c>
      <c r="W154">
        <v>0</v>
      </c>
      <c r="X154">
        <v>0</v>
      </c>
      <c r="Y154">
        <v>20773542</v>
      </c>
      <c r="Z154">
        <v>20868507</v>
      </c>
      <c r="AA154">
        <f t="shared" si="5"/>
        <v>-264110</v>
      </c>
      <c r="AB154">
        <f t="shared" si="4"/>
        <v>-1.3880906020416615</v>
      </c>
    </row>
    <row r="155" spans="1:28">
      <c r="A155" t="s">
        <v>50</v>
      </c>
      <c r="B155" s="2">
        <v>44621</v>
      </c>
      <c r="C155" s="2">
        <v>44593</v>
      </c>
      <c r="D155" s="2">
        <v>44693</v>
      </c>
      <c r="E155">
        <v>56347561</v>
      </c>
      <c r="F155">
        <v>56393210</v>
      </c>
      <c r="G155">
        <v>45649</v>
      </c>
      <c r="H155">
        <v>88.1</v>
      </c>
      <c r="I155">
        <v>510000</v>
      </c>
      <c r="J155" t="s">
        <v>29</v>
      </c>
      <c r="K155">
        <v>36.06</v>
      </c>
      <c r="L155">
        <v>36.57</v>
      </c>
      <c r="M155">
        <v>15583324</v>
      </c>
      <c r="N155">
        <v>15781370</v>
      </c>
      <c r="O155">
        <v>290</v>
      </c>
      <c r="P155">
        <v>222</v>
      </c>
      <c r="Q155">
        <v>15804656</v>
      </c>
      <c r="R155">
        <v>15662083</v>
      </c>
      <c r="S155">
        <v>2597378</v>
      </c>
      <c r="T155">
        <v>2665422</v>
      </c>
      <c r="U155">
        <v>0</v>
      </c>
      <c r="V155">
        <v>0</v>
      </c>
      <c r="W155">
        <v>0</v>
      </c>
      <c r="X155">
        <v>0</v>
      </c>
      <c r="Y155">
        <v>22361913</v>
      </c>
      <c r="Z155">
        <v>22284113</v>
      </c>
      <c r="AA155">
        <f t="shared" si="5"/>
        <v>-142573</v>
      </c>
      <c r="AB155">
        <f t="shared" si="4"/>
        <v>-0.90209492696329485</v>
      </c>
    </row>
    <row r="156" spans="1:28">
      <c r="A156" t="s">
        <v>28</v>
      </c>
      <c r="B156" s="2">
        <v>44652</v>
      </c>
      <c r="C156" s="2">
        <v>44621</v>
      </c>
      <c r="D156" s="2">
        <v>44728</v>
      </c>
      <c r="E156">
        <v>83120725</v>
      </c>
      <c r="F156">
        <v>82892816</v>
      </c>
      <c r="G156">
        <v>-227909</v>
      </c>
      <c r="H156">
        <v>89.7</v>
      </c>
      <c r="I156">
        <v>430000</v>
      </c>
      <c r="J156" t="s">
        <v>29</v>
      </c>
      <c r="K156">
        <v>51.54</v>
      </c>
      <c r="L156">
        <v>51.97</v>
      </c>
      <c r="M156">
        <v>31366746</v>
      </c>
      <c r="N156">
        <v>31354740</v>
      </c>
      <c r="O156">
        <v>0</v>
      </c>
      <c r="P156">
        <v>0</v>
      </c>
      <c r="Q156">
        <v>13692242</v>
      </c>
      <c r="R156">
        <v>13536849</v>
      </c>
      <c r="S156">
        <v>9299811</v>
      </c>
      <c r="T156">
        <v>9235042</v>
      </c>
      <c r="U156">
        <v>0</v>
      </c>
      <c r="V156">
        <v>0</v>
      </c>
      <c r="W156">
        <v>0</v>
      </c>
      <c r="X156">
        <v>0</v>
      </c>
      <c r="Y156">
        <v>28761926</v>
      </c>
      <c r="Z156">
        <v>28766185</v>
      </c>
      <c r="AA156">
        <f t="shared" si="5"/>
        <v>-155393</v>
      </c>
      <c r="AB156">
        <f t="shared" si="4"/>
        <v>-1.1348981415899602</v>
      </c>
    </row>
    <row r="157" spans="1:28">
      <c r="A157" t="s">
        <v>30</v>
      </c>
      <c r="B157" s="2">
        <v>44652</v>
      </c>
      <c r="C157" s="2">
        <v>44621</v>
      </c>
      <c r="D157" s="2">
        <v>44728</v>
      </c>
      <c r="E157">
        <v>24045498</v>
      </c>
      <c r="F157">
        <v>24179389</v>
      </c>
      <c r="G157">
        <v>133891</v>
      </c>
      <c r="H157">
        <v>92.13</v>
      </c>
      <c r="I157">
        <v>50000</v>
      </c>
      <c r="J157" t="s">
        <v>29</v>
      </c>
      <c r="K157">
        <v>4.96</v>
      </c>
      <c r="L157">
        <v>5.01</v>
      </c>
      <c r="M157">
        <v>10043796</v>
      </c>
      <c r="N157">
        <v>10085858</v>
      </c>
      <c r="O157">
        <v>0</v>
      </c>
      <c r="P157">
        <v>0</v>
      </c>
      <c r="Q157">
        <v>2501259</v>
      </c>
      <c r="R157">
        <v>2477648</v>
      </c>
      <c r="S157">
        <v>3210135</v>
      </c>
      <c r="T157">
        <v>3221963</v>
      </c>
      <c r="U157">
        <v>0</v>
      </c>
      <c r="V157">
        <v>0</v>
      </c>
      <c r="W157">
        <v>0</v>
      </c>
      <c r="X157">
        <v>0</v>
      </c>
      <c r="Y157">
        <v>8290308</v>
      </c>
      <c r="Z157">
        <v>8393920</v>
      </c>
      <c r="AA157">
        <f t="shared" si="5"/>
        <v>-23611</v>
      </c>
      <c r="AB157">
        <f t="shared" si="4"/>
        <v>-0.9439646194176613</v>
      </c>
    </row>
    <row r="158" spans="1:28">
      <c r="A158" t="s">
        <v>31</v>
      </c>
      <c r="B158" s="2">
        <v>44652</v>
      </c>
      <c r="C158" s="2">
        <v>44621</v>
      </c>
      <c r="D158" s="2">
        <v>44728</v>
      </c>
      <c r="E158">
        <v>86319101</v>
      </c>
      <c r="F158">
        <v>86932683</v>
      </c>
      <c r="G158">
        <v>613582</v>
      </c>
      <c r="H158">
        <v>82.29</v>
      </c>
      <c r="I158">
        <v>530000</v>
      </c>
      <c r="J158" t="s">
        <v>29</v>
      </c>
      <c r="K158">
        <v>34.65</v>
      </c>
      <c r="L158">
        <v>35.18</v>
      </c>
      <c r="M158">
        <v>37414631</v>
      </c>
      <c r="N158">
        <v>37549526</v>
      </c>
      <c r="O158">
        <v>0</v>
      </c>
      <c r="P158">
        <v>0</v>
      </c>
      <c r="Q158">
        <v>10189484</v>
      </c>
      <c r="R158">
        <v>10098755</v>
      </c>
      <c r="S158">
        <v>5438780</v>
      </c>
      <c r="T158">
        <v>5492014</v>
      </c>
      <c r="U158">
        <v>0</v>
      </c>
      <c r="V158">
        <v>0</v>
      </c>
      <c r="W158">
        <v>0</v>
      </c>
      <c r="X158">
        <v>0</v>
      </c>
      <c r="Y158">
        <v>33276206</v>
      </c>
      <c r="Z158">
        <v>33792388</v>
      </c>
      <c r="AA158">
        <f t="shared" si="5"/>
        <v>-90729</v>
      </c>
      <c r="AB158">
        <f t="shared" si="4"/>
        <v>-0.89041800350243439</v>
      </c>
    </row>
    <row r="159" spans="1:28">
      <c r="A159" t="s">
        <v>32</v>
      </c>
      <c r="B159" s="2">
        <v>44652</v>
      </c>
      <c r="C159" s="2">
        <v>44621</v>
      </c>
      <c r="D159" s="2">
        <v>44728</v>
      </c>
      <c r="E159">
        <v>52270702</v>
      </c>
      <c r="F159">
        <v>52671181</v>
      </c>
      <c r="G159">
        <v>400479</v>
      </c>
      <c r="H159">
        <v>68.14</v>
      </c>
      <c r="I159">
        <v>350000</v>
      </c>
      <c r="J159" t="s">
        <v>29</v>
      </c>
      <c r="K159">
        <v>33.31</v>
      </c>
      <c r="L159">
        <v>33.659999999999997</v>
      </c>
      <c r="M159">
        <v>16235553</v>
      </c>
      <c r="N159">
        <v>16239458</v>
      </c>
      <c r="O159">
        <v>204</v>
      </c>
      <c r="P159">
        <v>202</v>
      </c>
      <c r="Q159">
        <v>16130457</v>
      </c>
      <c r="R159">
        <v>16386314</v>
      </c>
      <c r="S159">
        <v>0</v>
      </c>
      <c r="T159">
        <v>0</v>
      </c>
      <c r="U159">
        <v>0</v>
      </c>
      <c r="V159">
        <v>0</v>
      </c>
      <c r="W159">
        <v>2152246</v>
      </c>
      <c r="X159">
        <v>2151951</v>
      </c>
      <c r="Y159">
        <v>17752242</v>
      </c>
      <c r="Z159">
        <v>17893256</v>
      </c>
      <c r="AA159">
        <f t="shared" si="5"/>
        <v>255857</v>
      </c>
      <c r="AB159">
        <f t="shared" si="4"/>
        <v>1.5861732869688689</v>
      </c>
    </row>
    <row r="160" spans="1:28">
      <c r="A160" t="s">
        <v>33</v>
      </c>
      <c r="B160" s="2">
        <v>44652</v>
      </c>
      <c r="C160" s="2">
        <v>44621</v>
      </c>
      <c r="D160" s="2">
        <v>44728</v>
      </c>
      <c r="E160">
        <v>67299141</v>
      </c>
      <c r="F160">
        <v>67318449</v>
      </c>
      <c r="G160">
        <v>19308</v>
      </c>
      <c r="H160">
        <v>90.08</v>
      </c>
      <c r="I160">
        <v>490000</v>
      </c>
      <c r="J160" t="s">
        <v>29</v>
      </c>
      <c r="K160">
        <v>46.64</v>
      </c>
      <c r="L160">
        <v>47.13</v>
      </c>
      <c r="M160">
        <v>11978342</v>
      </c>
      <c r="N160">
        <v>11988296</v>
      </c>
      <c r="O160">
        <v>78</v>
      </c>
      <c r="P160">
        <v>64</v>
      </c>
      <c r="Q160">
        <v>23787229</v>
      </c>
      <c r="R160">
        <v>23829900</v>
      </c>
      <c r="S160">
        <v>5584147</v>
      </c>
      <c r="T160">
        <v>5578829</v>
      </c>
      <c r="U160">
        <v>0</v>
      </c>
      <c r="V160">
        <v>0</v>
      </c>
      <c r="W160">
        <v>0</v>
      </c>
      <c r="X160">
        <v>0</v>
      </c>
      <c r="Y160">
        <v>25949345</v>
      </c>
      <c r="Z160">
        <v>25921360</v>
      </c>
      <c r="AA160">
        <f t="shared" si="5"/>
        <v>42671</v>
      </c>
      <c r="AB160">
        <f t="shared" si="4"/>
        <v>0.17938617398436785</v>
      </c>
    </row>
    <row r="161" spans="1:28">
      <c r="A161" t="s">
        <v>34</v>
      </c>
      <c r="B161" s="2">
        <v>44652</v>
      </c>
      <c r="C161" s="2">
        <v>44621</v>
      </c>
      <c r="D161" s="2">
        <v>44728</v>
      </c>
      <c r="E161">
        <v>27222801</v>
      </c>
      <c r="F161">
        <v>27276556</v>
      </c>
      <c r="G161">
        <v>53755</v>
      </c>
      <c r="H161">
        <v>87.67</v>
      </c>
      <c r="I161">
        <v>220000</v>
      </c>
      <c r="J161" t="s">
        <v>29</v>
      </c>
      <c r="K161">
        <v>22.93</v>
      </c>
      <c r="L161">
        <v>23.15</v>
      </c>
      <c r="M161">
        <v>5921655</v>
      </c>
      <c r="N161">
        <v>5954121</v>
      </c>
      <c r="O161">
        <v>19</v>
      </c>
      <c r="P161">
        <v>18</v>
      </c>
      <c r="Q161">
        <v>7833440</v>
      </c>
      <c r="R161">
        <v>7805801</v>
      </c>
      <c r="S161">
        <v>4935801</v>
      </c>
      <c r="T161">
        <v>4895992</v>
      </c>
      <c r="U161">
        <v>0</v>
      </c>
      <c r="V161">
        <v>0</v>
      </c>
      <c r="W161">
        <v>0</v>
      </c>
      <c r="X161">
        <v>0</v>
      </c>
      <c r="Y161">
        <v>8531886</v>
      </c>
      <c r="Z161">
        <v>8620624</v>
      </c>
      <c r="AA161">
        <f t="shared" si="5"/>
        <v>-27639</v>
      </c>
      <c r="AB161">
        <f t="shared" si="4"/>
        <v>-0.3528334933311546</v>
      </c>
    </row>
    <row r="162" spans="1:28">
      <c r="A162" t="s">
        <v>35</v>
      </c>
      <c r="B162" s="2">
        <v>44652</v>
      </c>
      <c r="C162" s="2">
        <v>44621</v>
      </c>
      <c r="D162" s="2">
        <v>44728</v>
      </c>
      <c r="E162">
        <v>10170590</v>
      </c>
      <c r="F162">
        <v>10136047</v>
      </c>
      <c r="G162">
        <v>-34543</v>
      </c>
      <c r="H162">
        <v>106.3</v>
      </c>
      <c r="I162">
        <v>30000</v>
      </c>
      <c r="J162" t="s">
        <v>29</v>
      </c>
      <c r="K162">
        <v>3.12</v>
      </c>
      <c r="L162">
        <v>3.15</v>
      </c>
      <c r="M162">
        <v>3317454</v>
      </c>
      <c r="N162">
        <v>3314762</v>
      </c>
      <c r="O162">
        <v>93</v>
      </c>
      <c r="P162">
        <v>92</v>
      </c>
      <c r="Q162">
        <v>558401</v>
      </c>
      <c r="R162">
        <v>554253</v>
      </c>
      <c r="S162">
        <v>2773564</v>
      </c>
      <c r="T162">
        <v>2731392</v>
      </c>
      <c r="U162">
        <v>0</v>
      </c>
      <c r="V162">
        <v>0</v>
      </c>
      <c r="W162">
        <v>0</v>
      </c>
      <c r="X162">
        <v>0</v>
      </c>
      <c r="Y162">
        <v>3521078</v>
      </c>
      <c r="Z162">
        <v>3535548</v>
      </c>
      <c r="AA162">
        <f t="shared" si="5"/>
        <v>-4148</v>
      </c>
      <c r="AB162">
        <f t="shared" si="4"/>
        <v>-0.74283534592524014</v>
      </c>
    </row>
    <row r="163" spans="1:28">
      <c r="A163" t="s">
        <v>36</v>
      </c>
      <c r="B163" s="2">
        <v>44652</v>
      </c>
      <c r="C163" s="2">
        <v>44621</v>
      </c>
      <c r="D163" s="2">
        <v>44728</v>
      </c>
      <c r="E163">
        <v>11950121</v>
      </c>
      <c r="F163">
        <v>12108961</v>
      </c>
      <c r="G163">
        <v>158840</v>
      </c>
      <c r="H163">
        <v>81.900000000000006</v>
      </c>
      <c r="I163">
        <v>20000</v>
      </c>
      <c r="J163" t="s">
        <v>29</v>
      </c>
      <c r="K163">
        <v>1.55</v>
      </c>
      <c r="L163">
        <v>1.57</v>
      </c>
      <c r="M163">
        <v>5632326</v>
      </c>
      <c r="N163">
        <v>5686516</v>
      </c>
      <c r="O163">
        <v>0</v>
      </c>
      <c r="P163">
        <v>0</v>
      </c>
      <c r="Q163">
        <v>430021</v>
      </c>
      <c r="R163">
        <v>433800</v>
      </c>
      <c r="S163">
        <v>1321119</v>
      </c>
      <c r="T163">
        <v>1321582</v>
      </c>
      <c r="U163">
        <v>0</v>
      </c>
      <c r="V163">
        <v>0</v>
      </c>
      <c r="W163">
        <v>0</v>
      </c>
      <c r="X163">
        <v>0</v>
      </c>
      <c r="Y163">
        <v>4566655</v>
      </c>
      <c r="Z163">
        <v>4667063</v>
      </c>
      <c r="AA163">
        <f t="shared" si="5"/>
        <v>3779</v>
      </c>
      <c r="AB163">
        <f t="shared" si="4"/>
        <v>0.87879429144158072</v>
      </c>
    </row>
    <row r="164" spans="1:28">
      <c r="A164" t="s">
        <v>37</v>
      </c>
      <c r="B164" s="2">
        <v>44652</v>
      </c>
      <c r="C164" s="2">
        <v>44621</v>
      </c>
      <c r="D164" s="2">
        <v>44728</v>
      </c>
      <c r="E164">
        <v>64668703</v>
      </c>
      <c r="F164">
        <v>64893108</v>
      </c>
      <c r="G164">
        <v>224405</v>
      </c>
      <c r="H164">
        <v>90.16</v>
      </c>
      <c r="I164">
        <v>380000</v>
      </c>
      <c r="J164" t="s">
        <v>29</v>
      </c>
      <c r="K164">
        <v>53.23</v>
      </c>
      <c r="L164">
        <v>53.61</v>
      </c>
      <c r="M164">
        <v>30664024</v>
      </c>
      <c r="N164">
        <v>30679364</v>
      </c>
      <c r="O164">
        <v>653</v>
      </c>
      <c r="P164">
        <v>615</v>
      </c>
      <c r="Q164">
        <v>7639731</v>
      </c>
      <c r="R164">
        <v>7595906</v>
      </c>
      <c r="S164">
        <v>6858477</v>
      </c>
      <c r="T164">
        <v>6869430</v>
      </c>
      <c r="U164">
        <v>0</v>
      </c>
      <c r="V164">
        <v>0</v>
      </c>
      <c r="W164">
        <v>0</v>
      </c>
      <c r="X164">
        <v>0</v>
      </c>
      <c r="Y164">
        <v>19505818</v>
      </c>
      <c r="Z164">
        <v>19747793</v>
      </c>
      <c r="AA164">
        <f t="shared" si="5"/>
        <v>-43825</v>
      </c>
      <c r="AB164">
        <f t="shared" si="4"/>
        <v>-0.57364585219034547</v>
      </c>
    </row>
    <row r="165" spans="1:28">
      <c r="A165" t="s">
        <v>38</v>
      </c>
      <c r="B165" s="2">
        <v>44652</v>
      </c>
      <c r="C165" s="2">
        <v>44621</v>
      </c>
      <c r="D165" s="2">
        <v>44728</v>
      </c>
      <c r="E165">
        <v>43374472</v>
      </c>
      <c r="F165">
        <v>43205630</v>
      </c>
      <c r="G165">
        <v>-168842</v>
      </c>
      <c r="H165">
        <v>91.65</v>
      </c>
      <c r="I165">
        <v>170000</v>
      </c>
      <c r="J165" t="s">
        <v>29</v>
      </c>
      <c r="K165">
        <v>18.43</v>
      </c>
      <c r="L165">
        <v>18.600000000000001</v>
      </c>
      <c r="M165">
        <v>7734058</v>
      </c>
      <c r="N165">
        <v>7746354</v>
      </c>
      <c r="O165">
        <v>165</v>
      </c>
      <c r="P165">
        <v>157</v>
      </c>
      <c r="Q165">
        <v>15953380</v>
      </c>
      <c r="R165">
        <v>15752322</v>
      </c>
      <c r="S165">
        <v>10520191</v>
      </c>
      <c r="T165">
        <v>10450523</v>
      </c>
      <c r="U165">
        <v>0</v>
      </c>
      <c r="V165">
        <v>0</v>
      </c>
      <c r="W165">
        <v>0</v>
      </c>
      <c r="X165">
        <v>0</v>
      </c>
      <c r="Y165">
        <v>9166678</v>
      </c>
      <c r="Z165">
        <v>9256274</v>
      </c>
      <c r="AA165">
        <f t="shared" si="5"/>
        <v>-201058</v>
      </c>
      <c r="AB165">
        <f t="shared" si="4"/>
        <v>-1.2602846544117923</v>
      </c>
    </row>
    <row r="166" spans="1:28">
      <c r="A166" t="s">
        <v>39</v>
      </c>
      <c r="B166" s="2">
        <v>44652</v>
      </c>
      <c r="C166" s="2">
        <v>44621</v>
      </c>
      <c r="D166" s="2">
        <v>44728</v>
      </c>
      <c r="E166">
        <v>23772644</v>
      </c>
      <c r="F166">
        <v>23862674</v>
      </c>
      <c r="G166">
        <v>90030</v>
      </c>
      <c r="H166">
        <v>89.12</v>
      </c>
      <c r="I166">
        <v>110000</v>
      </c>
      <c r="J166" t="s">
        <v>29</v>
      </c>
      <c r="K166">
        <v>14.12</v>
      </c>
      <c r="L166">
        <v>14.23</v>
      </c>
      <c r="M166">
        <v>5709242</v>
      </c>
      <c r="N166">
        <v>5715530</v>
      </c>
      <c r="O166">
        <v>0</v>
      </c>
      <c r="P166">
        <v>0</v>
      </c>
      <c r="Q166">
        <v>6076759</v>
      </c>
      <c r="R166">
        <v>6094626</v>
      </c>
      <c r="S166">
        <v>2260124</v>
      </c>
      <c r="T166">
        <v>2277634</v>
      </c>
      <c r="U166">
        <v>0</v>
      </c>
      <c r="V166">
        <v>0</v>
      </c>
      <c r="W166">
        <v>0</v>
      </c>
      <c r="X166">
        <v>0</v>
      </c>
      <c r="Y166">
        <v>9726519</v>
      </c>
      <c r="Z166">
        <v>9774884</v>
      </c>
      <c r="AA166">
        <f t="shared" si="5"/>
        <v>17867</v>
      </c>
      <c r="AB166">
        <f t="shared" si="4"/>
        <v>0.29402186264092423</v>
      </c>
    </row>
    <row r="167" spans="1:28">
      <c r="A167" t="s">
        <v>40</v>
      </c>
      <c r="B167" s="2">
        <v>44652</v>
      </c>
      <c r="C167" s="2">
        <v>44621</v>
      </c>
      <c r="D167" s="2">
        <v>44728</v>
      </c>
      <c r="E167">
        <v>76758735</v>
      </c>
      <c r="F167">
        <v>76578038</v>
      </c>
      <c r="G167">
        <v>-180697</v>
      </c>
      <c r="H167">
        <v>83.42</v>
      </c>
      <c r="I167">
        <v>670000</v>
      </c>
      <c r="J167" t="s">
        <v>29</v>
      </c>
      <c r="K167">
        <v>50.46</v>
      </c>
      <c r="L167">
        <v>51.13</v>
      </c>
      <c r="M167">
        <v>15080492</v>
      </c>
      <c r="N167">
        <v>15189040</v>
      </c>
      <c r="O167">
        <v>0</v>
      </c>
      <c r="P167">
        <v>0</v>
      </c>
      <c r="Q167">
        <v>19984148</v>
      </c>
      <c r="R167">
        <v>19771158</v>
      </c>
      <c r="S167">
        <v>6026898</v>
      </c>
      <c r="T167">
        <v>5908416</v>
      </c>
      <c r="U167">
        <v>0</v>
      </c>
      <c r="V167">
        <v>0</v>
      </c>
      <c r="W167">
        <v>0</v>
      </c>
      <c r="X167">
        <v>0</v>
      </c>
      <c r="Y167">
        <v>35667197</v>
      </c>
      <c r="Z167">
        <v>35709424</v>
      </c>
      <c r="AA167">
        <f t="shared" si="5"/>
        <v>-212990</v>
      </c>
      <c r="AB167">
        <f t="shared" si="4"/>
        <v>-1.0657947489179924</v>
      </c>
    </row>
    <row r="168" spans="1:28">
      <c r="A168" t="s">
        <v>41</v>
      </c>
      <c r="B168" s="2">
        <v>44652</v>
      </c>
      <c r="C168" s="2">
        <v>44621</v>
      </c>
      <c r="D168" s="2">
        <v>44728</v>
      </c>
      <c r="E168">
        <v>92299117</v>
      </c>
      <c r="F168">
        <v>91514300</v>
      </c>
      <c r="G168">
        <v>-784817</v>
      </c>
      <c r="H168">
        <v>86.79</v>
      </c>
      <c r="I168">
        <v>620000</v>
      </c>
      <c r="J168" t="s">
        <v>29</v>
      </c>
      <c r="K168">
        <v>56.84</v>
      </c>
      <c r="L168">
        <v>57.46</v>
      </c>
      <c r="M168">
        <v>20274742</v>
      </c>
      <c r="N168">
        <v>20275097</v>
      </c>
      <c r="O168">
        <v>0</v>
      </c>
      <c r="P168">
        <v>0</v>
      </c>
      <c r="Q168">
        <v>28714243</v>
      </c>
      <c r="R168">
        <v>28258963</v>
      </c>
      <c r="S168">
        <v>6656723</v>
      </c>
      <c r="T168">
        <v>6533653</v>
      </c>
      <c r="U168">
        <v>0</v>
      </c>
      <c r="V168">
        <v>0</v>
      </c>
      <c r="W168">
        <v>0</v>
      </c>
      <c r="X168">
        <v>0</v>
      </c>
      <c r="Y168">
        <v>36653409</v>
      </c>
      <c r="Z168">
        <v>36446587</v>
      </c>
      <c r="AA168">
        <f t="shared" si="5"/>
        <v>-455280</v>
      </c>
      <c r="AB168">
        <f t="shared" si="4"/>
        <v>-1.5855545974170377</v>
      </c>
    </row>
    <row r="169" spans="1:28">
      <c r="A169" t="s">
        <v>42</v>
      </c>
      <c r="B169" s="2">
        <v>44652</v>
      </c>
      <c r="C169" s="2">
        <v>44621</v>
      </c>
      <c r="D169" s="2">
        <v>44728</v>
      </c>
      <c r="E169">
        <v>34265975</v>
      </c>
      <c r="F169">
        <v>34449191</v>
      </c>
      <c r="G169">
        <v>183216</v>
      </c>
      <c r="H169">
        <v>69.17</v>
      </c>
      <c r="I169">
        <v>160000</v>
      </c>
      <c r="J169" t="s">
        <v>29</v>
      </c>
      <c r="K169">
        <v>27.41</v>
      </c>
      <c r="L169">
        <v>27.57</v>
      </c>
      <c r="M169">
        <v>9693295</v>
      </c>
      <c r="N169">
        <v>9724159</v>
      </c>
      <c r="O169">
        <v>1270</v>
      </c>
      <c r="P169">
        <v>1214</v>
      </c>
      <c r="Q169">
        <v>11837333</v>
      </c>
      <c r="R169">
        <v>11806736</v>
      </c>
      <c r="S169">
        <v>0</v>
      </c>
      <c r="T169">
        <v>0</v>
      </c>
      <c r="U169">
        <v>0</v>
      </c>
      <c r="V169">
        <v>0</v>
      </c>
      <c r="W169">
        <v>1096405</v>
      </c>
      <c r="X169">
        <v>1093553</v>
      </c>
      <c r="Y169">
        <v>11637672</v>
      </c>
      <c r="Z169">
        <v>11823529</v>
      </c>
      <c r="AA169">
        <f t="shared" si="5"/>
        <v>-30597</v>
      </c>
      <c r="AB169">
        <f t="shared" si="4"/>
        <v>-0.25847883133810629</v>
      </c>
    </row>
    <row r="170" spans="1:28">
      <c r="A170" t="s">
        <v>43</v>
      </c>
      <c r="B170" s="2">
        <v>44652</v>
      </c>
      <c r="C170" s="2">
        <v>44621</v>
      </c>
      <c r="D170" s="2">
        <v>44728</v>
      </c>
      <c r="E170">
        <v>11918383</v>
      </c>
      <c r="F170">
        <v>12029733</v>
      </c>
      <c r="G170">
        <v>111350</v>
      </c>
      <c r="H170">
        <v>92.9</v>
      </c>
      <c r="I170">
        <v>10000</v>
      </c>
      <c r="J170" t="s">
        <v>29</v>
      </c>
      <c r="K170">
        <v>1.73</v>
      </c>
      <c r="L170">
        <v>1.74</v>
      </c>
      <c r="M170">
        <v>5628807</v>
      </c>
      <c r="N170">
        <v>5673080</v>
      </c>
      <c r="O170">
        <v>0</v>
      </c>
      <c r="P170">
        <v>0</v>
      </c>
      <c r="Q170">
        <v>1099337</v>
      </c>
      <c r="R170">
        <v>1092187</v>
      </c>
      <c r="S170">
        <v>1358731</v>
      </c>
      <c r="T170">
        <v>1380156</v>
      </c>
      <c r="U170">
        <v>0</v>
      </c>
      <c r="V170">
        <v>0</v>
      </c>
      <c r="W170">
        <v>0</v>
      </c>
      <c r="X170">
        <v>0</v>
      </c>
      <c r="Y170">
        <v>3831508</v>
      </c>
      <c r="Z170">
        <v>3884310</v>
      </c>
      <c r="AA170">
        <f t="shared" si="5"/>
        <v>-7150</v>
      </c>
      <c r="AB170">
        <f t="shared" si="4"/>
        <v>-0.65039200900178917</v>
      </c>
    </row>
    <row r="171" spans="1:28">
      <c r="A171" t="s">
        <v>44</v>
      </c>
      <c r="B171" s="2">
        <v>44652</v>
      </c>
      <c r="C171" s="2">
        <v>44621</v>
      </c>
      <c r="D171" s="2">
        <v>44728</v>
      </c>
      <c r="E171">
        <v>32529493</v>
      </c>
      <c r="F171">
        <v>32573427</v>
      </c>
      <c r="G171">
        <v>43934</v>
      </c>
      <c r="H171">
        <v>96.3</v>
      </c>
      <c r="I171">
        <v>130000</v>
      </c>
      <c r="J171" t="s">
        <v>29</v>
      </c>
      <c r="K171">
        <v>13.24</v>
      </c>
      <c r="L171">
        <v>13.37</v>
      </c>
      <c r="M171">
        <v>11069813</v>
      </c>
      <c r="N171">
        <v>11067472</v>
      </c>
      <c r="O171">
        <v>54</v>
      </c>
      <c r="P171">
        <v>36</v>
      </c>
      <c r="Q171">
        <v>1829944</v>
      </c>
      <c r="R171">
        <v>1787839</v>
      </c>
      <c r="S171">
        <v>6262887</v>
      </c>
      <c r="T171">
        <v>6280513</v>
      </c>
      <c r="U171">
        <v>0</v>
      </c>
      <c r="V171">
        <v>0</v>
      </c>
      <c r="W171">
        <v>0</v>
      </c>
      <c r="X171">
        <v>0</v>
      </c>
      <c r="Y171">
        <v>13366795</v>
      </c>
      <c r="Z171">
        <v>13437567</v>
      </c>
      <c r="AA171">
        <f t="shared" si="5"/>
        <v>-42105</v>
      </c>
      <c r="AB171">
        <f t="shared" si="4"/>
        <v>-2.3008900818822871</v>
      </c>
    </row>
    <row r="172" spans="1:28">
      <c r="A172" t="s">
        <v>45</v>
      </c>
      <c r="B172" s="2">
        <v>44652</v>
      </c>
      <c r="C172" s="2">
        <v>44621</v>
      </c>
      <c r="D172" s="2">
        <v>44728</v>
      </c>
      <c r="E172">
        <v>36986139</v>
      </c>
      <c r="F172">
        <v>36304051</v>
      </c>
      <c r="G172">
        <v>-682088</v>
      </c>
      <c r="H172">
        <v>84.06</v>
      </c>
      <c r="I172">
        <v>240000</v>
      </c>
      <c r="J172" t="s">
        <v>29</v>
      </c>
      <c r="K172">
        <v>25.21</v>
      </c>
      <c r="L172">
        <v>25.45</v>
      </c>
      <c r="M172">
        <v>11909677</v>
      </c>
      <c r="N172">
        <v>11999746</v>
      </c>
      <c r="O172">
        <v>117</v>
      </c>
      <c r="P172">
        <v>115</v>
      </c>
      <c r="Q172">
        <v>8546865</v>
      </c>
      <c r="R172">
        <v>8417752</v>
      </c>
      <c r="S172">
        <v>5301931</v>
      </c>
      <c r="T172">
        <v>5333501</v>
      </c>
      <c r="U172">
        <v>0</v>
      </c>
      <c r="V172">
        <v>0</v>
      </c>
      <c r="W172">
        <v>0</v>
      </c>
      <c r="X172">
        <v>0</v>
      </c>
      <c r="Y172">
        <v>11227549</v>
      </c>
      <c r="Z172">
        <v>10552937</v>
      </c>
      <c r="AA172">
        <f t="shared" si="5"/>
        <v>-129113</v>
      </c>
      <c r="AB172">
        <f t="shared" si="4"/>
        <v>-1.5106474713242808</v>
      </c>
    </row>
    <row r="173" spans="1:28">
      <c r="A173" t="s">
        <v>46</v>
      </c>
      <c r="B173" s="2">
        <v>44652</v>
      </c>
      <c r="C173" s="2">
        <v>44621</v>
      </c>
      <c r="D173" s="2">
        <v>44728</v>
      </c>
      <c r="E173">
        <v>63185395</v>
      </c>
      <c r="F173">
        <v>62864108</v>
      </c>
      <c r="G173">
        <v>-321287</v>
      </c>
      <c r="H173">
        <v>91.4</v>
      </c>
      <c r="I173">
        <v>530000</v>
      </c>
      <c r="J173" t="s">
        <v>29</v>
      </c>
      <c r="K173">
        <v>49.31</v>
      </c>
      <c r="L173">
        <v>49.84</v>
      </c>
      <c r="M173">
        <v>21819804</v>
      </c>
      <c r="N173">
        <v>21840892</v>
      </c>
      <c r="O173">
        <v>170</v>
      </c>
      <c r="P173">
        <v>169</v>
      </c>
      <c r="Q173">
        <v>11073954</v>
      </c>
      <c r="R173">
        <v>11028854</v>
      </c>
      <c r="S173">
        <v>6545223</v>
      </c>
      <c r="T173">
        <v>6480769</v>
      </c>
      <c r="U173">
        <v>0</v>
      </c>
      <c r="V173">
        <v>0</v>
      </c>
      <c r="W173">
        <v>0</v>
      </c>
      <c r="X173">
        <v>0</v>
      </c>
      <c r="Y173">
        <v>23746244</v>
      </c>
      <c r="Z173">
        <v>23513424</v>
      </c>
      <c r="AA173">
        <f t="shared" si="5"/>
        <v>-45100</v>
      </c>
      <c r="AB173">
        <f t="shared" si="4"/>
        <v>-0.40726194094719914</v>
      </c>
    </row>
    <row r="174" spans="1:28">
      <c r="A174" t="s">
        <v>47</v>
      </c>
      <c r="B174" s="2">
        <v>44652</v>
      </c>
      <c r="C174" s="2">
        <v>44621</v>
      </c>
      <c r="D174" s="2">
        <v>44728</v>
      </c>
      <c r="E174">
        <v>78851939</v>
      </c>
      <c r="F174">
        <v>78934847</v>
      </c>
      <c r="G174">
        <v>82908</v>
      </c>
      <c r="H174">
        <v>93.54</v>
      </c>
      <c r="I174">
        <v>360000</v>
      </c>
      <c r="J174" t="s">
        <v>29</v>
      </c>
      <c r="K174">
        <v>49.73</v>
      </c>
      <c r="L174">
        <v>50.09</v>
      </c>
      <c r="M174">
        <v>27403128</v>
      </c>
      <c r="N174">
        <v>27323938</v>
      </c>
      <c r="O174">
        <v>293</v>
      </c>
      <c r="P174">
        <v>291</v>
      </c>
      <c r="Q174">
        <v>17928621</v>
      </c>
      <c r="R174">
        <v>17752333</v>
      </c>
      <c r="S174">
        <v>9665252</v>
      </c>
      <c r="T174">
        <v>9790342</v>
      </c>
      <c r="U174">
        <v>53545</v>
      </c>
      <c r="V174">
        <v>59808</v>
      </c>
      <c r="W174">
        <v>0</v>
      </c>
      <c r="X174">
        <v>0</v>
      </c>
      <c r="Y174">
        <v>23801100</v>
      </c>
      <c r="Z174">
        <v>24008135</v>
      </c>
      <c r="AA174">
        <f t="shared" si="5"/>
        <v>-176288</v>
      </c>
      <c r="AB174">
        <f t="shared" si="4"/>
        <v>-0.98327696257286046</v>
      </c>
    </row>
    <row r="175" spans="1:28">
      <c r="A175" t="s">
        <v>48</v>
      </c>
      <c r="B175" s="2">
        <v>44652</v>
      </c>
      <c r="C175" s="2">
        <v>44621</v>
      </c>
      <c r="D175" s="2">
        <v>44728</v>
      </c>
      <c r="E175">
        <v>100605050</v>
      </c>
      <c r="F175">
        <v>100970003</v>
      </c>
      <c r="G175">
        <v>364953</v>
      </c>
      <c r="H175">
        <v>86.06</v>
      </c>
      <c r="I175">
        <v>1090000</v>
      </c>
      <c r="J175" t="s">
        <v>29</v>
      </c>
      <c r="K175">
        <v>53</v>
      </c>
      <c r="L175">
        <v>54.09</v>
      </c>
      <c r="M175">
        <v>37152947</v>
      </c>
      <c r="N175">
        <v>37297156</v>
      </c>
      <c r="O175">
        <v>0</v>
      </c>
      <c r="P175">
        <v>0</v>
      </c>
      <c r="Q175">
        <v>20543055</v>
      </c>
      <c r="R175">
        <v>20347136</v>
      </c>
      <c r="S175">
        <v>11047872</v>
      </c>
      <c r="T175">
        <v>10967785</v>
      </c>
      <c r="U175">
        <v>0</v>
      </c>
      <c r="V175">
        <v>0</v>
      </c>
      <c r="W175">
        <v>0</v>
      </c>
      <c r="X175">
        <v>0</v>
      </c>
      <c r="Y175">
        <v>31861176</v>
      </c>
      <c r="Z175">
        <v>32357926</v>
      </c>
      <c r="AA175">
        <f t="shared" si="5"/>
        <v>-195919</v>
      </c>
      <c r="AB175">
        <f t="shared" si="4"/>
        <v>-0.95369943759581999</v>
      </c>
    </row>
    <row r="176" spans="1:28">
      <c r="A176" t="s">
        <v>49</v>
      </c>
      <c r="B176" s="2">
        <v>44652</v>
      </c>
      <c r="C176" s="2">
        <v>44621</v>
      </c>
      <c r="D176" s="2">
        <v>44728</v>
      </c>
      <c r="E176">
        <v>64085951</v>
      </c>
      <c r="F176">
        <v>64088001</v>
      </c>
      <c r="G176">
        <v>2050</v>
      </c>
      <c r="H176">
        <v>84.06</v>
      </c>
      <c r="I176">
        <v>730000</v>
      </c>
      <c r="J176" t="s">
        <v>29</v>
      </c>
      <c r="K176">
        <v>41.79</v>
      </c>
      <c r="L176">
        <v>42.52</v>
      </c>
      <c r="M176">
        <v>18499362</v>
      </c>
      <c r="N176">
        <v>18531342</v>
      </c>
      <c r="O176">
        <v>9</v>
      </c>
      <c r="P176">
        <v>9</v>
      </c>
      <c r="Q176">
        <v>18762746</v>
      </c>
      <c r="R176">
        <v>18674757</v>
      </c>
      <c r="S176">
        <v>5955327</v>
      </c>
      <c r="T176">
        <v>5881738</v>
      </c>
      <c r="U176">
        <v>0</v>
      </c>
      <c r="V176">
        <v>0</v>
      </c>
      <c r="W176">
        <v>0</v>
      </c>
      <c r="X176">
        <v>0</v>
      </c>
      <c r="Y176">
        <v>20868507</v>
      </c>
      <c r="Z176">
        <v>21000155</v>
      </c>
      <c r="AA176">
        <f t="shared" si="5"/>
        <v>-87989</v>
      </c>
      <c r="AB176">
        <f t="shared" si="4"/>
        <v>-0.46895587671442129</v>
      </c>
    </row>
    <row r="177" spans="1:28">
      <c r="A177" t="s">
        <v>50</v>
      </c>
      <c r="B177" s="2">
        <v>44652</v>
      </c>
      <c r="C177" s="2">
        <v>44621</v>
      </c>
      <c r="D177" s="2">
        <v>44728</v>
      </c>
      <c r="E177">
        <v>56393210</v>
      </c>
      <c r="F177">
        <v>56873247</v>
      </c>
      <c r="G177">
        <v>480037</v>
      </c>
      <c r="H177">
        <v>86.38</v>
      </c>
      <c r="I177">
        <v>460000</v>
      </c>
      <c r="J177" t="s">
        <v>29</v>
      </c>
      <c r="K177">
        <v>36.57</v>
      </c>
      <c r="L177">
        <v>37.03</v>
      </c>
      <c r="M177">
        <v>15781370</v>
      </c>
      <c r="N177">
        <v>15910833</v>
      </c>
      <c r="O177">
        <v>222</v>
      </c>
      <c r="P177">
        <v>172</v>
      </c>
      <c r="Q177">
        <v>15662083</v>
      </c>
      <c r="R177">
        <v>15702177</v>
      </c>
      <c r="S177">
        <v>2665422</v>
      </c>
      <c r="T177">
        <v>2687329</v>
      </c>
      <c r="U177">
        <v>0</v>
      </c>
      <c r="V177">
        <v>0</v>
      </c>
      <c r="W177">
        <v>0</v>
      </c>
      <c r="X177">
        <v>0</v>
      </c>
      <c r="Y177">
        <v>22284113</v>
      </c>
      <c r="Z177">
        <v>22572736</v>
      </c>
      <c r="AA177">
        <f t="shared" si="5"/>
        <v>40094</v>
      </c>
      <c r="AB177">
        <f t="shared" si="4"/>
        <v>0.25599404625808714</v>
      </c>
    </row>
    <row r="178" spans="1:28">
      <c r="A178" t="s">
        <v>28</v>
      </c>
      <c r="B178" s="2">
        <v>44682</v>
      </c>
      <c r="C178" s="2">
        <v>44652</v>
      </c>
      <c r="D178" s="2">
        <v>44761</v>
      </c>
      <c r="E178">
        <v>82892816</v>
      </c>
      <c r="F178">
        <v>83137917</v>
      </c>
      <c r="G178">
        <v>245101</v>
      </c>
      <c r="H178">
        <v>88.54</v>
      </c>
      <c r="I178">
        <v>420000</v>
      </c>
      <c r="J178" t="s">
        <v>29</v>
      </c>
      <c r="K178">
        <v>51.97</v>
      </c>
      <c r="L178">
        <v>52.39</v>
      </c>
      <c r="M178">
        <v>31354740</v>
      </c>
      <c r="N178">
        <v>31426052</v>
      </c>
      <c r="O178">
        <v>0</v>
      </c>
      <c r="P178">
        <v>0</v>
      </c>
      <c r="Q178">
        <v>13536849</v>
      </c>
      <c r="R178">
        <v>13462041</v>
      </c>
      <c r="S178">
        <v>9235042</v>
      </c>
      <c r="T178">
        <v>9156619</v>
      </c>
      <c r="U178">
        <v>0</v>
      </c>
      <c r="V178">
        <v>0</v>
      </c>
      <c r="W178">
        <v>0</v>
      </c>
      <c r="X178">
        <v>0</v>
      </c>
      <c r="Y178">
        <v>28766185</v>
      </c>
      <c r="Z178">
        <v>29093205</v>
      </c>
      <c r="AA178">
        <f t="shared" si="5"/>
        <v>-74808</v>
      </c>
      <c r="AB178">
        <f t="shared" si="4"/>
        <v>-0.55262491293210114</v>
      </c>
    </row>
    <row r="179" spans="1:28">
      <c r="A179" t="s">
        <v>30</v>
      </c>
      <c r="B179" s="2">
        <v>44682</v>
      </c>
      <c r="C179" s="2">
        <v>44652</v>
      </c>
      <c r="D179" s="2">
        <v>44761</v>
      </c>
      <c r="E179">
        <v>24179389</v>
      </c>
      <c r="F179">
        <v>24152632</v>
      </c>
      <c r="G179">
        <v>-26757</v>
      </c>
      <c r="H179">
        <v>91.26</v>
      </c>
      <c r="I179">
        <v>70000</v>
      </c>
      <c r="J179" t="s">
        <v>29</v>
      </c>
      <c r="K179">
        <v>5.01</v>
      </c>
      <c r="L179">
        <v>5.08</v>
      </c>
      <c r="M179">
        <v>10085858</v>
      </c>
      <c r="N179">
        <v>10166286</v>
      </c>
      <c r="O179">
        <v>0</v>
      </c>
      <c r="P179">
        <v>0</v>
      </c>
      <c r="Q179">
        <v>2477648</v>
      </c>
      <c r="R179">
        <v>2447450</v>
      </c>
      <c r="S179">
        <v>3221963</v>
      </c>
      <c r="T179">
        <v>3235613</v>
      </c>
      <c r="U179">
        <v>0</v>
      </c>
      <c r="V179">
        <v>0</v>
      </c>
      <c r="W179">
        <v>0</v>
      </c>
      <c r="X179">
        <v>0</v>
      </c>
      <c r="Y179">
        <v>8393920</v>
      </c>
      <c r="Z179">
        <v>8303283</v>
      </c>
      <c r="AA179">
        <f t="shared" si="5"/>
        <v>-30198</v>
      </c>
      <c r="AB179">
        <f t="shared" si="4"/>
        <v>-1.2188172008291733</v>
      </c>
    </row>
    <row r="180" spans="1:28">
      <c r="A180" t="s">
        <v>31</v>
      </c>
      <c r="B180" s="2">
        <v>44682</v>
      </c>
      <c r="C180" s="2">
        <v>44652</v>
      </c>
      <c r="D180" s="2">
        <v>44761</v>
      </c>
      <c r="E180">
        <v>86932683</v>
      </c>
      <c r="F180">
        <v>87900388</v>
      </c>
      <c r="G180">
        <v>967705</v>
      </c>
      <c r="H180">
        <v>83.41</v>
      </c>
      <c r="I180">
        <v>560000</v>
      </c>
      <c r="J180" t="s">
        <v>29</v>
      </c>
      <c r="K180">
        <v>35.18</v>
      </c>
      <c r="L180">
        <v>35.74</v>
      </c>
      <c r="M180">
        <v>37549526</v>
      </c>
      <c r="N180">
        <v>37861463</v>
      </c>
      <c r="O180">
        <v>0</v>
      </c>
      <c r="P180">
        <v>0</v>
      </c>
      <c r="Q180">
        <v>10098755</v>
      </c>
      <c r="R180">
        <v>10181591</v>
      </c>
      <c r="S180">
        <v>5492014</v>
      </c>
      <c r="T180">
        <v>5537429</v>
      </c>
      <c r="U180">
        <v>0</v>
      </c>
      <c r="V180">
        <v>0</v>
      </c>
      <c r="W180">
        <v>0</v>
      </c>
      <c r="X180">
        <v>0</v>
      </c>
      <c r="Y180">
        <v>33792388</v>
      </c>
      <c r="Z180">
        <v>34319905</v>
      </c>
      <c r="AA180">
        <f t="shared" si="5"/>
        <v>82836</v>
      </c>
      <c r="AB180">
        <f t="shared" si="4"/>
        <v>0.82025952704070948</v>
      </c>
    </row>
    <row r="181" spans="1:28">
      <c r="A181" t="s">
        <v>32</v>
      </c>
      <c r="B181" s="2">
        <v>44682</v>
      </c>
      <c r="C181" s="2">
        <v>44652</v>
      </c>
      <c r="D181" s="2">
        <v>44761</v>
      </c>
      <c r="E181">
        <v>52671181</v>
      </c>
      <c r="F181">
        <v>52740506</v>
      </c>
      <c r="G181">
        <v>69325</v>
      </c>
      <c r="H181">
        <v>65.53</v>
      </c>
      <c r="I181">
        <v>350000</v>
      </c>
      <c r="J181" t="s">
        <v>29</v>
      </c>
      <c r="K181">
        <v>33.659999999999997</v>
      </c>
      <c r="L181">
        <v>34.01</v>
      </c>
      <c r="M181">
        <v>16239458</v>
      </c>
      <c r="N181">
        <v>16251949</v>
      </c>
      <c r="O181">
        <v>202</v>
      </c>
      <c r="P181">
        <v>202</v>
      </c>
      <c r="Q181">
        <v>16386314</v>
      </c>
      <c r="R181">
        <v>16349276</v>
      </c>
      <c r="S181">
        <v>0</v>
      </c>
      <c r="T181">
        <v>0</v>
      </c>
      <c r="U181">
        <v>0</v>
      </c>
      <c r="V181">
        <v>0</v>
      </c>
      <c r="W181">
        <v>2151951</v>
      </c>
      <c r="X181">
        <v>2151661</v>
      </c>
      <c r="Y181">
        <v>17893256</v>
      </c>
      <c r="Z181">
        <v>17987418</v>
      </c>
      <c r="AA181">
        <f t="shared" si="5"/>
        <v>-37038</v>
      </c>
      <c r="AB181">
        <f t="shared" si="4"/>
        <v>-0.22603008827976812</v>
      </c>
    </row>
    <row r="182" spans="1:28">
      <c r="A182" t="s">
        <v>33</v>
      </c>
      <c r="B182" s="2">
        <v>44682</v>
      </c>
      <c r="C182" s="2">
        <v>44652</v>
      </c>
      <c r="D182" s="2">
        <v>44761</v>
      </c>
      <c r="E182">
        <v>67318449</v>
      </c>
      <c r="F182">
        <v>67407299</v>
      </c>
      <c r="G182">
        <v>88850</v>
      </c>
      <c r="H182">
        <v>88.73</v>
      </c>
      <c r="I182">
        <v>480000</v>
      </c>
      <c r="J182" t="s">
        <v>29</v>
      </c>
      <c r="K182">
        <v>47.13</v>
      </c>
      <c r="L182">
        <v>47.61</v>
      </c>
      <c r="M182">
        <v>11988296</v>
      </c>
      <c r="N182">
        <v>11892823</v>
      </c>
      <c r="O182">
        <v>64</v>
      </c>
      <c r="P182">
        <v>64</v>
      </c>
      <c r="Q182">
        <v>23829900</v>
      </c>
      <c r="R182">
        <v>23847573</v>
      </c>
      <c r="S182">
        <v>5578829</v>
      </c>
      <c r="T182">
        <v>5552542</v>
      </c>
      <c r="U182">
        <v>0</v>
      </c>
      <c r="V182">
        <v>0</v>
      </c>
      <c r="W182">
        <v>0</v>
      </c>
      <c r="X182">
        <v>0</v>
      </c>
      <c r="Y182">
        <v>25921360</v>
      </c>
      <c r="Z182">
        <v>26114297</v>
      </c>
      <c r="AA182">
        <f t="shared" si="5"/>
        <v>17673</v>
      </c>
      <c r="AB182">
        <f t="shared" si="4"/>
        <v>7.4163131192325607E-2</v>
      </c>
    </row>
    <row r="183" spans="1:28">
      <c r="A183" t="s">
        <v>34</v>
      </c>
      <c r="B183" s="2">
        <v>44682</v>
      </c>
      <c r="C183" s="2">
        <v>44652</v>
      </c>
      <c r="D183" s="2">
        <v>44761</v>
      </c>
      <c r="E183">
        <v>27276556</v>
      </c>
      <c r="F183">
        <v>26651927</v>
      </c>
      <c r="G183">
        <v>-624629</v>
      </c>
      <c r="H183">
        <v>85.72</v>
      </c>
      <c r="I183">
        <v>230000</v>
      </c>
      <c r="J183" t="s">
        <v>29</v>
      </c>
      <c r="K183">
        <v>23.15</v>
      </c>
      <c r="L183">
        <v>23.38</v>
      </c>
      <c r="M183">
        <v>5954121</v>
      </c>
      <c r="N183">
        <v>5982851</v>
      </c>
      <c r="O183">
        <v>18</v>
      </c>
      <c r="P183">
        <v>18</v>
      </c>
      <c r="Q183">
        <v>7805801</v>
      </c>
      <c r="R183">
        <v>7798065</v>
      </c>
      <c r="S183">
        <v>4895992</v>
      </c>
      <c r="T183">
        <v>4730055</v>
      </c>
      <c r="U183">
        <v>0</v>
      </c>
      <c r="V183">
        <v>0</v>
      </c>
      <c r="W183">
        <v>0</v>
      </c>
      <c r="X183">
        <v>0</v>
      </c>
      <c r="Y183">
        <v>8620624</v>
      </c>
      <c r="Z183">
        <v>8140938</v>
      </c>
      <c r="AA183">
        <f t="shared" si="5"/>
        <v>-7736</v>
      </c>
      <c r="AB183">
        <f t="shared" si="4"/>
        <v>-9.910578043175837E-2</v>
      </c>
    </row>
    <row r="184" spans="1:28">
      <c r="A184" t="s">
        <v>35</v>
      </c>
      <c r="B184" s="2">
        <v>44682</v>
      </c>
      <c r="C184" s="2">
        <v>44652</v>
      </c>
      <c r="D184" s="2">
        <v>44761</v>
      </c>
      <c r="E184">
        <v>10136047</v>
      </c>
      <c r="F184">
        <v>9927654</v>
      </c>
      <c r="G184">
        <v>-208393</v>
      </c>
      <c r="H184">
        <v>107.04</v>
      </c>
      <c r="I184">
        <v>30000</v>
      </c>
      <c r="J184" t="s">
        <v>29</v>
      </c>
      <c r="K184">
        <v>3.15</v>
      </c>
      <c r="L184">
        <v>3.18</v>
      </c>
      <c r="M184">
        <v>3314762</v>
      </c>
      <c r="N184">
        <v>3315326</v>
      </c>
      <c r="O184">
        <v>92</v>
      </c>
      <c r="P184">
        <v>92</v>
      </c>
      <c r="Q184">
        <v>554253</v>
      </c>
      <c r="R184">
        <v>547019</v>
      </c>
      <c r="S184">
        <v>2731392</v>
      </c>
      <c r="T184">
        <v>2738350</v>
      </c>
      <c r="U184">
        <v>0</v>
      </c>
      <c r="V184">
        <v>0</v>
      </c>
      <c r="W184">
        <v>0</v>
      </c>
      <c r="X184">
        <v>0</v>
      </c>
      <c r="Y184">
        <v>3535548</v>
      </c>
      <c r="Z184">
        <v>3326867</v>
      </c>
      <c r="AA184">
        <f t="shared" si="5"/>
        <v>-7234</v>
      </c>
      <c r="AB184">
        <f t="shared" si="4"/>
        <v>-1.3051801253218296</v>
      </c>
    </row>
    <row r="185" spans="1:28">
      <c r="A185" t="s">
        <v>36</v>
      </c>
      <c r="B185" s="2">
        <v>44682</v>
      </c>
      <c r="C185" s="2">
        <v>44652</v>
      </c>
      <c r="D185" s="2">
        <v>44761</v>
      </c>
      <c r="E185">
        <v>12108961</v>
      </c>
      <c r="F185">
        <v>12263670</v>
      </c>
      <c r="G185">
        <v>154709</v>
      </c>
      <c r="H185">
        <v>79.680000000000007</v>
      </c>
      <c r="I185">
        <v>30000</v>
      </c>
      <c r="J185" t="s">
        <v>29</v>
      </c>
      <c r="K185">
        <v>1.57</v>
      </c>
      <c r="L185">
        <v>1.6</v>
      </c>
      <c r="M185">
        <v>5686516</v>
      </c>
      <c r="N185">
        <v>5751254</v>
      </c>
      <c r="O185">
        <v>0</v>
      </c>
      <c r="P185">
        <v>0</v>
      </c>
      <c r="Q185">
        <v>433800</v>
      </c>
      <c r="R185">
        <v>437212</v>
      </c>
      <c r="S185">
        <v>1321582</v>
      </c>
      <c r="T185">
        <v>1324220</v>
      </c>
      <c r="U185">
        <v>0</v>
      </c>
      <c r="V185">
        <v>0</v>
      </c>
      <c r="W185">
        <v>0</v>
      </c>
      <c r="X185">
        <v>0</v>
      </c>
      <c r="Y185">
        <v>4667063</v>
      </c>
      <c r="Z185">
        <v>4750984</v>
      </c>
      <c r="AA185">
        <f t="shared" si="5"/>
        <v>3412</v>
      </c>
      <c r="AB185">
        <f t="shared" si="4"/>
        <v>0.78653757491931775</v>
      </c>
    </row>
    <row r="186" spans="1:28">
      <c r="A186" t="s">
        <v>37</v>
      </c>
      <c r="B186" s="2">
        <v>44682</v>
      </c>
      <c r="C186" s="2">
        <v>44652</v>
      </c>
      <c r="D186" s="2">
        <v>44761</v>
      </c>
      <c r="E186">
        <v>64893108</v>
      </c>
      <c r="F186">
        <v>65110222</v>
      </c>
      <c r="G186">
        <v>217114</v>
      </c>
      <c r="H186">
        <v>89.8</v>
      </c>
      <c r="I186">
        <v>410000</v>
      </c>
      <c r="J186" t="s">
        <v>29</v>
      </c>
      <c r="K186">
        <v>53.61</v>
      </c>
      <c r="L186">
        <v>54.02</v>
      </c>
      <c r="M186">
        <v>30679364</v>
      </c>
      <c r="N186">
        <v>30667166</v>
      </c>
      <c r="O186">
        <v>615</v>
      </c>
      <c r="P186">
        <v>615</v>
      </c>
      <c r="Q186">
        <v>7595906</v>
      </c>
      <c r="R186">
        <v>7572092</v>
      </c>
      <c r="S186">
        <v>6869430</v>
      </c>
      <c r="T186">
        <v>6794850</v>
      </c>
      <c r="U186">
        <v>0</v>
      </c>
      <c r="V186">
        <v>0</v>
      </c>
      <c r="W186">
        <v>0</v>
      </c>
      <c r="X186">
        <v>0</v>
      </c>
      <c r="Y186">
        <v>19747793</v>
      </c>
      <c r="Z186">
        <v>20075499</v>
      </c>
      <c r="AA186">
        <f t="shared" si="5"/>
        <v>-23814</v>
      </c>
      <c r="AB186">
        <f t="shared" si="4"/>
        <v>-0.3135109886825877</v>
      </c>
    </row>
    <row r="187" spans="1:28">
      <c r="A187" t="s">
        <v>38</v>
      </c>
      <c r="B187" s="2">
        <v>44682</v>
      </c>
      <c r="C187" s="2">
        <v>44652</v>
      </c>
      <c r="D187" s="2">
        <v>44761</v>
      </c>
      <c r="E187">
        <v>43205630</v>
      </c>
      <c r="F187">
        <v>43030273</v>
      </c>
      <c r="G187">
        <v>-175357</v>
      </c>
      <c r="H187">
        <v>92.26</v>
      </c>
      <c r="I187">
        <v>180000</v>
      </c>
      <c r="J187" t="s">
        <v>29</v>
      </c>
      <c r="K187">
        <v>18.600000000000001</v>
      </c>
      <c r="L187">
        <v>18.78</v>
      </c>
      <c r="M187">
        <v>7746354</v>
      </c>
      <c r="N187">
        <v>7773984</v>
      </c>
      <c r="O187">
        <v>157</v>
      </c>
      <c r="P187">
        <v>157</v>
      </c>
      <c r="Q187">
        <v>15752322</v>
      </c>
      <c r="R187">
        <v>15467939</v>
      </c>
      <c r="S187">
        <v>10450523</v>
      </c>
      <c r="T187">
        <v>10413886</v>
      </c>
      <c r="U187">
        <v>0</v>
      </c>
      <c r="V187">
        <v>0</v>
      </c>
      <c r="W187">
        <v>0</v>
      </c>
      <c r="X187">
        <v>0</v>
      </c>
      <c r="Y187">
        <v>9256274</v>
      </c>
      <c r="Z187">
        <v>9374307</v>
      </c>
      <c r="AA187">
        <f t="shared" si="5"/>
        <v>-284383</v>
      </c>
      <c r="AB187">
        <f t="shared" si="4"/>
        <v>-1.8053401904811239</v>
      </c>
    </row>
    <row r="188" spans="1:28">
      <c r="A188" t="s">
        <v>39</v>
      </c>
      <c r="B188" s="2">
        <v>44682</v>
      </c>
      <c r="C188" s="2">
        <v>44652</v>
      </c>
      <c r="D188" s="2">
        <v>44761</v>
      </c>
      <c r="E188">
        <v>23862674</v>
      </c>
      <c r="F188">
        <v>23806248</v>
      </c>
      <c r="G188">
        <v>-56426</v>
      </c>
      <c r="H188">
        <v>86.6</v>
      </c>
      <c r="I188">
        <v>120000</v>
      </c>
      <c r="J188" t="s">
        <v>29</v>
      </c>
      <c r="K188">
        <v>14.23</v>
      </c>
      <c r="L188">
        <v>14.35</v>
      </c>
      <c r="M188">
        <v>5715530</v>
      </c>
      <c r="N188">
        <v>5715602</v>
      </c>
      <c r="O188">
        <v>0</v>
      </c>
      <c r="P188">
        <v>0</v>
      </c>
      <c r="Q188">
        <v>6094626</v>
      </c>
      <c r="R188">
        <v>6092618</v>
      </c>
      <c r="S188">
        <v>2277634</v>
      </c>
      <c r="T188">
        <v>2143362</v>
      </c>
      <c r="U188">
        <v>0</v>
      </c>
      <c r="V188">
        <v>0</v>
      </c>
      <c r="W188">
        <v>0</v>
      </c>
      <c r="X188">
        <v>0</v>
      </c>
      <c r="Y188">
        <v>9774884</v>
      </c>
      <c r="Z188">
        <v>9854666</v>
      </c>
      <c r="AA188">
        <f t="shared" si="5"/>
        <v>-2008</v>
      </c>
      <c r="AB188">
        <f t="shared" si="4"/>
        <v>-3.294705860540089E-2</v>
      </c>
    </row>
    <row r="189" spans="1:28">
      <c r="A189" t="s">
        <v>40</v>
      </c>
      <c r="B189" s="2">
        <v>44682</v>
      </c>
      <c r="C189" s="2">
        <v>44652</v>
      </c>
      <c r="D189" s="2">
        <v>44761</v>
      </c>
      <c r="E189">
        <v>76578038</v>
      </c>
      <c r="F189">
        <v>77072131</v>
      </c>
      <c r="G189">
        <v>494093</v>
      </c>
      <c r="H189">
        <v>81.87</v>
      </c>
      <c r="I189">
        <v>750000</v>
      </c>
      <c r="J189" t="s">
        <v>29</v>
      </c>
      <c r="K189">
        <v>51.13</v>
      </c>
      <c r="L189">
        <v>51.88</v>
      </c>
      <c r="M189">
        <v>15189040</v>
      </c>
      <c r="N189">
        <v>15220231</v>
      </c>
      <c r="O189">
        <v>0</v>
      </c>
      <c r="P189">
        <v>0</v>
      </c>
      <c r="Q189">
        <v>19771158</v>
      </c>
      <c r="R189">
        <v>19850888</v>
      </c>
      <c r="S189">
        <v>5908416</v>
      </c>
      <c r="T189">
        <v>5896799</v>
      </c>
      <c r="U189">
        <v>0</v>
      </c>
      <c r="V189">
        <v>0</v>
      </c>
      <c r="W189">
        <v>0</v>
      </c>
      <c r="X189">
        <v>0</v>
      </c>
      <c r="Y189">
        <v>35709424</v>
      </c>
      <c r="Z189">
        <v>36104213</v>
      </c>
      <c r="AA189">
        <f t="shared" si="5"/>
        <v>79730</v>
      </c>
      <c r="AB189">
        <f t="shared" si="4"/>
        <v>0.40326418917900508</v>
      </c>
    </row>
    <row r="190" spans="1:28">
      <c r="A190" t="s">
        <v>41</v>
      </c>
      <c r="B190" s="2">
        <v>44682</v>
      </c>
      <c r="C190" s="2">
        <v>44652</v>
      </c>
      <c r="D190" s="2">
        <v>44761</v>
      </c>
      <c r="E190">
        <v>91514300</v>
      </c>
      <c r="F190">
        <v>91788037</v>
      </c>
      <c r="G190">
        <v>273737</v>
      </c>
      <c r="H190">
        <v>86.01</v>
      </c>
      <c r="I190">
        <v>620000</v>
      </c>
      <c r="J190" t="s">
        <v>29</v>
      </c>
      <c r="K190">
        <v>57.46</v>
      </c>
      <c r="L190">
        <v>58.08</v>
      </c>
      <c r="M190">
        <v>20275097</v>
      </c>
      <c r="N190">
        <v>20352908</v>
      </c>
      <c r="O190">
        <v>0</v>
      </c>
      <c r="P190">
        <v>0</v>
      </c>
      <c r="Q190">
        <v>28258963</v>
      </c>
      <c r="R190">
        <v>28021176</v>
      </c>
      <c r="S190">
        <v>6533653</v>
      </c>
      <c r="T190">
        <v>6618175</v>
      </c>
      <c r="U190">
        <v>0</v>
      </c>
      <c r="V190">
        <v>0</v>
      </c>
      <c r="W190">
        <v>0</v>
      </c>
      <c r="X190">
        <v>0</v>
      </c>
      <c r="Y190">
        <v>36446587</v>
      </c>
      <c r="Z190">
        <v>36795778</v>
      </c>
      <c r="AA190">
        <f t="shared" si="5"/>
        <v>-237787</v>
      </c>
      <c r="AB190">
        <f t="shared" si="4"/>
        <v>-0.84145692111915071</v>
      </c>
    </row>
    <row r="191" spans="1:28">
      <c r="A191" t="s">
        <v>42</v>
      </c>
      <c r="B191" s="2">
        <v>44682</v>
      </c>
      <c r="C191" s="2">
        <v>44652</v>
      </c>
      <c r="D191" s="2">
        <v>44761</v>
      </c>
      <c r="E191">
        <v>34449191</v>
      </c>
      <c r="F191">
        <v>34455442</v>
      </c>
      <c r="G191">
        <v>6251</v>
      </c>
      <c r="H191">
        <v>65.03</v>
      </c>
      <c r="I191">
        <v>140000</v>
      </c>
      <c r="J191" t="s">
        <v>29</v>
      </c>
      <c r="K191">
        <v>27.57</v>
      </c>
      <c r="L191">
        <v>27.71</v>
      </c>
      <c r="M191">
        <v>9724159</v>
      </c>
      <c r="N191">
        <v>9669355</v>
      </c>
      <c r="O191">
        <v>1214</v>
      </c>
      <c r="P191">
        <v>1214</v>
      </c>
      <c r="Q191">
        <v>11806736</v>
      </c>
      <c r="R191">
        <v>11872510</v>
      </c>
      <c r="S191">
        <v>0</v>
      </c>
      <c r="T191">
        <v>0</v>
      </c>
      <c r="U191">
        <v>0</v>
      </c>
      <c r="V191">
        <v>0</v>
      </c>
      <c r="W191">
        <v>1093553</v>
      </c>
      <c r="X191">
        <v>1091178</v>
      </c>
      <c r="Y191">
        <v>11823529</v>
      </c>
      <c r="Z191">
        <v>11821185</v>
      </c>
      <c r="AA191">
        <f t="shared" si="5"/>
        <v>65774</v>
      </c>
      <c r="AB191">
        <f t="shared" si="4"/>
        <v>0.5570887669547282</v>
      </c>
    </row>
    <row r="192" spans="1:28">
      <c r="A192" t="s">
        <v>43</v>
      </c>
      <c r="B192" s="2">
        <v>44682</v>
      </c>
      <c r="C192" s="2">
        <v>44652</v>
      </c>
      <c r="D192" s="2">
        <v>44761</v>
      </c>
      <c r="E192">
        <v>12029733</v>
      </c>
      <c r="F192">
        <v>12069005</v>
      </c>
      <c r="G192">
        <v>39272</v>
      </c>
      <c r="H192">
        <v>91.94</v>
      </c>
      <c r="I192">
        <v>20000</v>
      </c>
      <c r="J192" t="s">
        <v>29</v>
      </c>
      <c r="K192">
        <v>1.74</v>
      </c>
      <c r="L192">
        <v>1.76</v>
      </c>
      <c r="M192">
        <v>5673080</v>
      </c>
      <c r="N192">
        <v>5705140</v>
      </c>
      <c r="O192">
        <v>0</v>
      </c>
      <c r="P192">
        <v>0</v>
      </c>
      <c r="Q192">
        <v>1092187</v>
      </c>
      <c r="R192">
        <v>1085747</v>
      </c>
      <c r="S192">
        <v>1380156</v>
      </c>
      <c r="T192">
        <v>1410852</v>
      </c>
      <c r="U192">
        <v>0</v>
      </c>
      <c r="V192">
        <v>0</v>
      </c>
      <c r="W192">
        <v>0</v>
      </c>
      <c r="X192">
        <v>0</v>
      </c>
      <c r="Y192">
        <v>3884310</v>
      </c>
      <c r="Z192">
        <v>3867266</v>
      </c>
      <c r="AA192">
        <f t="shared" si="5"/>
        <v>-6440</v>
      </c>
      <c r="AB192">
        <f t="shared" si="4"/>
        <v>-0.5896426161454037</v>
      </c>
    </row>
    <row r="193" spans="1:28">
      <c r="A193" t="s">
        <v>44</v>
      </c>
      <c r="B193" s="2">
        <v>44682</v>
      </c>
      <c r="C193" s="2">
        <v>44652</v>
      </c>
      <c r="D193" s="2">
        <v>44761</v>
      </c>
      <c r="E193">
        <v>32573427</v>
      </c>
      <c r="F193">
        <v>32823108</v>
      </c>
      <c r="G193">
        <v>249681</v>
      </c>
      <c r="H193">
        <v>93.76</v>
      </c>
      <c r="I193">
        <v>120000</v>
      </c>
      <c r="J193" t="s">
        <v>29</v>
      </c>
      <c r="K193">
        <v>13.37</v>
      </c>
      <c r="L193">
        <v>13.49</v>
      </c>
      <c r="M193">
        <v>11067472</v>
      </c>
      <c r="N193">
        <v>11139362</v>
      </c>
      <c r="O193">
        <v>36</v>
      </c>
      <c r="P193">
        <v>36</v>
      </c>
      <c r="Q193">
        <v>1787839</v>
      </c>
      <c r="R193">
        <v>1767520</v>
      </c>
      <c r="S193">
        <v>6280513</v>
      </c>
      <c r="T193">
        <v>6293182</v>
      </c>
      <c r="U193">
        <v>0</v>
      </c>
      <c r="V193">
        <v>0</v>
      </c>
      <c r="W193">
        <v>0</v>
      </c>
      <c r="X193">
        <v>0</v>
      </c>
      <c r="Y193">
        <v>13437567</v>
      </c>
      <c r="Z193">
        <v>13623008</v>
      </c>
      <c r="AA193">
        <f t="shared" si="5"/>
        <v>-20319</v>
      </c>
      <c r="AB193">
        <f t="shared" si="4"/>
        <v>-1.1365117328797505</v>
      </c>
    </row>
    <row r="194" spans="1:28">
      <c r="A194" t="s">
        <v>45</v>
      </c>
      <c r="B194" s="2">
        <v>44682</v>
      </c>
      <c r="C194" s="2">
        <v>44652</v>
      </c>
      <c r="D194" s="2">
        <v>44761</v>
      </c>
      <c r="E194">
        <v>36304051</v>
      </c>
      <c r="F194">
        <v>36343383</v>
      </c>
      <c r="G194">
        <v>39332</v>
      </c>
      <c r="H194">
        <v>81.94</v>
      </c>
      <c r="I194">
        <v>250000</v>
      </c>
      <c r="J194" t="s">
        <v>29</v>
      </c>
      <c r="K194">
        <v>25.45</v>
      </c>
      <c r="L194">
        <v>25.7</v>
      </c>
      <c r="M194">
        <v>11999746</v>
      </c>
      <c r="N194">
        <v>11995354</v>
      </c>
      <c r="O194">
        <v>115</v>
      </c>
      <c r="P194">
        <v>115</v>
      </c>
      <c r="Q194">
        <v>8417752</v>
      </c>
      <c r="R194">
        <v>8434928</v>
      </c>
      <c r="S194">
        <v>5333501</v>
      </c>
      <c r="T194">
        <v>5234458</v>
      </c>
      <c r="U194">
        <v>0</v>
      </c>
      <c r="V194">
        <v>0</v>
      </c>
      <c r="W194">
        <v>0</v>
      </c>
      <c r="X194">
        <v>0</v>
      </c>
      <c r="Y194">
        <v>10552937</v>
      </c>
      <c r="Z194">
        <v>10678528</v>
      </c>
      <c r="AA194">
        <f t="shared" si="5"/>
        <v>17176</v>
      </c>
      <c r="AB194">
        <f t="shared" si="4"/>
        <v>0.20404497542811906</v>
      </c>
    </row>
    <row r="195" spans="1:28">
      <c r="A195" t="s">
        <v>46</v>
      </c>
      <c r="B195" s="2">
        <v>44682</v>
      </c>
      <c r="C195" s="2">
        <v>44652</v>
      </c>
      <c r="D195" s="2">
        <v>44761</v>
      </c>
      <c r="E195">
        <v>62864108</v>
      </c>
      <c r="F195">
        <v>63052607</v>
      </c>
      <c r="G195">
        <v>188499</v>
      </c>
      <c r="H195">
        <v>91.32</v>
      </c>
      <c r="I195">
        <v>530000</v>
      </c>
      <c r="J195" t="s">
        <v>29</v>
      </c>
      <c r="K195">
        <v>49.84</v>
      </c>
      <c r="L195">
        <v>50.37</v>
      </c>
      <c r="M195">
        <v>21840892</v>
      </c>
      <c r="N195">
        <v>21911912</v>
      </c>
      <c r="O195">
        <v>169</v>
      </c>
      <c r="P195">
        <v>169</v>
      </c>
      <c r="Q195">
        <v>11028854</v>
      </c>
      <c r="R195">
        <v>10981737</v>
      </c>
      <c r="S195">
        <v>6480769</v>
      </c>
      <c r="T195">
        <v>6482475</v>
      </c>
      <c r="U195">
        <v>0</v>
      </c>
      <c r="V195">
        <v>0</v>
      </c>
      <c r="W195">
        <v>0</v>
      </c>
      <c r="X195">
        <v>0</v>
      </c>
      <c r="Y195">
        <v>23513424</v>
      </c>
      <c r="Z195">
        <v>23676314</v>
      </c>
      <c r="AA195">
        <f t="shared" si="5"/>
        <v>-47117</v>
      </c>
      <c r="AB195">
        <f t="shared" ref="AB195:AB258" si="6">(($R195-$Q195)/$Q195)*100</f>
        <v>-0.42721573791801037</v>
      </c>
    </row>
    <row r="196" spans="1:28">
      <c r="A196" t="s">
        <v>47</v>
      </c>
      <c r="B196" s="2">
        <v>44682</v>
      </c>
      <c r="C196" s="2">
        <v>44652</v>
      </c>
      <c r="D196" s="2">
        <v>44761</v>
      </c>
      <c r="E196">
        <v>78934847</v>
      </c>
      <c r="F196">
        <v>79020329</v>
      </c>
      <c r="G196">
        <v>85482</v>
      </c>
      <c r="H196">
        <v>92.85</v>
      </c>
      <c r="I196">
        <v>350000</v>
      </c>
      <c r="J196" t="s">
        <v>29</v>
      </c>
      <c r="K196">
        <v>50.09</v>
      </c>
      <c r="L196">
        <v>50.44</v>
      </c>
      <c r="M196">
        <v>27323938</v>
      </c>
      <c r="N196">
        <v>27216753</v>
      </c>
      <c r="O196">
        <v>291</v>
      </c>
      <c r="P196">
        <v>291</v>
      </c>
      <c r="Q196">
        <v>17752333</v>
      </c>
      <c r="R196">
        <v>17705521</v>
      </c>
      <c r="S196">
        <v>9790342</v>
      </c>
      <c r="T196">
        <v>9758250</v>
      </c>
      <c r="U196">
        <v>59808</v>
      </c>
      <c r="V196">
        <v>64524</v>
      </c>
      <c r="W196">
        <v>0</v>
      </c>
      <c r="X196">
        <v>0</v>
      </c>
      <c r="Y196">
        <v>24008135</v>
      </c>
      <c r="Z196">
        <v>24274990</v>
      </c>
      <c r="AA196">
        <f t="shared" ref="AA196:AA259" si="7">$R196-$Q196</f>
        <v>-46812</v>
      </c>
      <c r="AB196">
        <f t="shared" si="6"/>
        <v>-0.26369491829609099</v>
      </c>
    </row>
    <row r="197" spans="1:28">
      <c r="A197" t="s">
        <v>48</v>
      </c>
      <c r="B197" s="2">
        <v>44682</v>
      </c>
      <c r="C197" s="2">
        <v>44652</v>
      </c>
      <c r="D197" s="2">
        <v>44761</v>
      </c>
      <c r="E197">
        <v>100970003</v>
      </c>
      <c r="F197">
        <v>101548290</v>
      </c>
      <c r="G197">
        <v>578287</v>
      </c>
      <c r="H197">
        <v>88.24</v>
      </c>
      <c r="I197">
        <v>1040000</v>
      </c>
      <c r="J197" t="s">
        <v>29</v>
      </c>
      <c r="K197">
        <v>54.09</v>
      </c>
      <c r="L197">
        <v>55.13</v>
      </c>
      <c r="M197">
        <v>37297156</v>
      </c>
      <c r="N197">
        <v>37467926</v>
      </c>
      <c r="O197">
        <v>0</v>
      </c>
      <c r="P197">
        <v>0</v>
      </c>
      <c r="Q197">
        <v>20347136</v>
      </c>
      <c r="R197">
        <v>20234110</v>
      </c>
      <c r="S197">
        <v>10967785</v>
      </c>
      <c r="T197">
        <v>10918759</v>
      </c>
      <c r="U197">
        <v>0</v>
      </c>
      <c r="V197">
        <v>0</v>
      </c>
      <c r="W197">
        <v>0</v>
      </c>
      <c r="X197">
        <v>0</v>
      </c>
      <c r="Y197">
        <v>32357926</v>
      </c>
      <c r="Z197">
        <v>32927495</v>
      </c>
      <c r="AA197">
        <f t="shared" si="7"/>
        <v>-113026</v>
      </c>
      <c r="AB197">
        <f t="shared" si="6"/>
        <v>-0.55548849725091531</v>
      </c>
    </row>
    <row r="198" spans="1:28">
      <c r="A198" t="s">
        <v>49</v>
      </c>
      <c r="B198" s="2">
        <v>44682</v>
      </c>
      <c r="C198" s="2">
        <v>44652</v>
      </c>
      <c r="D198" s="2">
        <v>44761</v>
      </c>
      <c r="E198">
        <v>64088001</v>
      </c>
      <c r="F198">
        <v>64453974</v>
      </c>
      <c r="G198">
        <v>365973</v>
      </c>
      <c r="H198">
        <v>86.01</v>
      </c>
      <c r="I198">
        <v>800000</v>
      </c>
      <c r="J198" t="s">
        <v>29</v>
      </c>
      <c r="K198">
        <v>42.52</v>
      </c>
      <c r="L198">
        <v>43.32</v>
      </c>
      <c r="M198">
        <v>18531342</v>
      </c>
      <c r="N198">
        <v>18625214</v>
      </c>
      <c r="O198">
        <v>9</v>
      </c>
      <c r="P198">
        <v>9</v>
      </c>
      <c r="Q198">
        <v>18674757</v>
      </c>
      <c r="R198">
        <v>18568913</v>
      </c>
      <c r="S198">
        <v>5881738</v>
      </c>
      <c r="T198">
        <v>5844711</v>
      </c>
      <c r="U198">
        <v>0</v>
      </c>
      <c r="V198">
        <v>0</v>
      </c>
      <c r="W198">
        <v>0</v>
      </c>
      <c r="X198">
        <v>0</v>
      </c>
      <c r="Y198">
        <v>21000155</v>
      </c>
      <c r="Z198">
        <v>21415127</v>
      </c>
      <c r="AA198">
        <f t="shared" si="7"/>
        <v>-105844</v>
      </c>
      <c r="AB198">
        <f t="shared" si="6"/>
        <v>-0.56677578187496636</v>
      </c>
    </row>
    <row r="199" spans="1:28">
      <c r="A199" t="s">
        <v>50</v>
      </c>
      <c r="B199" s="2">
        <v>44682</v>
      </c>
      <c r="C199" s="2">
        <v>44652</v>
      </c>
      <c r="D199" s="2">
        <v>44761</v>
      </c>
      <c r="E199">
        <v>56873247</v>
      </c>
      <c r="F199">
        <v>56747271</v>
      </c>
      <c r="G199">
        <v>-125976</v>
      </c>
      <c r="H199">
        <v>86.63</v>
      </c>
      <c r="I199">
        <v>490000</v>
      </c>
      <c r="J199" t="s">
        <v>29</v>
      </c>
      <c r="K199">
        <v>37.03</v>
      </c>
      <c r="L199">
        <v>37.520000000000003</v>
      </c>
      <c r="M199">
        <v>15910833</v>
      </c>
      <c r="N199">
        <v>16066250</v>
      </c>
      <c r="O199">
        <v>172</v>
      </c>
      <c r="P199">
        <v>172</v>
      </c>
      <c r="Q199">
        <v>15702177</v>
      </c>
      <c r="R199">
        <v>15720882</v>
      </c>
      <c r="S199">
        <v>2687329</v>
      </c>
      <c r="T199">
        <v>2697798</v>
      </c>
      <c r="U199">
        <v>0</v>
      </c>
      <c r="V199">
        <v>0</v>
      </c>
      <c r="W199">
        <v>0</v>
      </c>
      <c r="X199">
        <v>0</v>
      </c>
      <c r="Y199">
        <v>22572736</v>
      </c>
      <c r="Z199">
        <v>22262169</v>
      </c>
      <c r="AA199">
        <f t="shared" si="7"/>
        <v>18705</v>
      </c>
      <c r="AB199">
        <f t="shared" si="6"/>
        <v>0.11912360942052812</v>
      </c>
    </row>
    <row r="200" spans="1:28">
      <c r="A200" t="s">
        <v>28</v>
      </c>
      <c r="B200" s="2">
        <v>44713</v>
      </c>
      <c r="C200" s="2">
        <v>44682</v>
      </c>
      <c r="E200">
        <v>83137917</v>
      </c>
      <c r="F200">
        <v>83212998</v>
      </c>
      <c r="G200">
        <v>75081</v>
      </c>
      <c r="H200">
        <v>88.64</v>
      </c>
      <c r="I200">
        <v>440000</v>
      </c>
      <c r="J200" t="s">
        <v>29</v>
      </c>
      <c r="K200">
        <v>52.39</v>
      </c>
      <c r="L200">
        <v>52.83</v>
      </c>
      <c r="M200">
        <v>31426052</v>
      </c>
      <c r="N200">
        <v>31538725</v>
      </c>
      <c r="O200">
        <v>0</v>
      </c>
      <c r="P200">
        <v>0</v>
      </c>
      <c r="Q200">
        <v>13462041</v>
      </c>
      <c r="R200">
        <v>13356859</v>
      </c>
      <c r="S200">
        <v>9156619</v>
      </c>
      <c r="T200">
        <v>9012485</v>
      </c>
      <c r="U200">
        <v>0</v>
      </c>
      <c r="V200">
        <v>0</v>
      </c>
      <c r="W200">
        <v>0</v>
      </c>
      <c r="X200">
        <v>0</v>
      </c>
      <c r="Y200">
        <v>29093205</v>
      </c>
      <c r="Z200">
        <v>29304929</v>
      </c>
      <c r="AA200">
        <f t="shared" si="7"/>
        <v>-105182</v>
      </c>
      <c r="AB200">
        <f t="shared" si="6"/>
        <v>-0.78132283210250209</v>
      </c>
    </row>
    <row r="201" spans="1:28">
      <c r="A201" t="s">
        <v>30</v>
      </c>
      <c r="B201" s="2">
        <v>44713</v>
      </c>
      <c r="C201" s="2">
        <v>44682</v>
      </c>
      <c r="E201">
        <v>24152632</v>
      </c>
      <c r="F201">
        <v>24109665</v>
      </c>
      <c r="G201">
        <v>-42967</v>
      </c>
      <c r="H201">
        <v>91.27</v>
      </c>
      <c r="I201">
        <v>60000</v>
      </c>
      <c r="J201" t="s">
        <v>29</v>
      </c>
      <c r="K201">
        <v>5.08</v>
      </c>
      <c r="L201">
        <v>5.14</v>
      </c>
      <c r="M201">
        <v>10166286</v>
      </c>
      <c r="N201">
        <v>10201674</v>
      </c>
      <c r="O201">
        <v>0</v>
      </c>
      <c r="P201">
        <v>0</v>
      </c>
      <c r="Q201">
        <v>2447450</v>
      </c>
      <c r="R201">
        <v>2410870</v>
      </c>
      <c r="S201">
        <v>3235613</v>
      </c>
      <c r="T201">
        <v>3250243</v>
      </c>
      <c r="U201">
        <v>0</v>
      </c>
      <c r="V201">
        <v>0</v>
      </c>
      <c r="W201">
        <v>0</v>
      </c>
      <c r="X201">
        <v>0</v>
      </c>
      <c r="Y201">
        <v>8303283</v>
      </c>
      <c r="Z201">
        <v>8246878</v>
      </c>
      <c r="AA201">
        <f t="shared" si="7"/>
        <v>-36580</v>
      </c>
      <c r="AB201">
        <f t="shared" si="6"/>
        <v>-1.4946168461051299</v>
      </c>
    </row>
    <row r="202" spans="1:28">
      <c r="A202" t="s">
        <v>31</v>
      </c>
      <c r="B202" s="2">
        <v>44713</v>
      </c>
      <c r="C202" s="2">
        <v>44682</v>
      </c>
      <c r="E202">
        <v>87900388</v>
      </c>
      <c r="F202">
        <v>88949562</v>
      </c>
      <c r="G202">
        <v>1049174</v>
      </c>
      <c r="H202">
        <v>81.5</v>
      </c>
      <c r="I202">
        <v>590000</v>
      </c>
      <c r="J202" t="s">
        <v>29</v>
      </c>
      <c r="K202">
        <v>35.74</v>
      </c>
      <c r="L202">
        <v>36.33</v>
      </c>
      <c r="M202">
        <v>37861463</v>
      </c>
      <c r="N202">
        <v>38301968</v>
      </c>
      <c r="O202">
        <v>0</v>
      </c>
      <c r="P202">
        <v>0</v>
      </c>
      <c r="Q202">
        <v>10181591</v>
      </c>
      <c r="R202">
        <v>10101469</v>
      </c>
      <c r="S202">
        <v>5537429</v>
      </c>
      <c r="T202">
        <v>5587868</v>
      </c>
      <c r="U202">
        <v>0</v>
      </c>
      <c r="V202">
        <v>0</v>
      </c>
      <c r="W202">
        <v>0</v>
      </c>
      <c r="X202">
        <v>0</v>
      </c>
      <c r="Y202">
        <v>34319905</v>
      </c>
      <c r="Z202">
        <v>34958257</v>
      </c>
      <c r="AA202">
        <f t="shared" si="7"/>
        <v>-80122</v>
      </c>
      <c r="AB202">
        <f t="shared" si="6"/>
        <v>-0.78693005837692753</v>
      </c>
    </row>
    <row r="203" spans="1:28">
      <c r="A203" t="s">
        <v>32</v>
      </c>
      <c r="B203" s="2">
        <v>44713</v>
      </c>
      <c r="C203" s="2">
        <v>44682</v>
      </c>
      <c r="E203">
        <v>52740506</v>
      </c>
      <c r="F203">
        <v>53004319</v>
      </c>
      <c r="G203">
        <v>263813</v>
      </c>
      <c r="H203">
        <v>65.63</v>
      </c>
      <c r="I203">
        <v>390000</v>
      </c>
      <c r="J203" t="s">
        <v>29</v>
      </c>
      <c r="K203">
        <v>34.01</v>
      </c>
      <c r="L203">
        <v>34.4</v>
      </c>
      <c r="M203">
        <v>16251949</v>
      </c>
      <c r="N203">
        <v>16258221</v>
      </c>
      <c r="O203">
        <v>202</v>
      </c>
      <c r="P203">
        <v>202</v>
      </c>
      <c r="Q203">
        <v>16349276</v>
      </c>
      <c r="R203">
        <v>16425147</v>
      </c>
      <c r="S203">
        <v>0</v>
      </c>
      <c r="T203">
        <v>0</v>
      </c>
      <c r="U203">
        <v>0</v>
      </c>
      <c r="V203">
        <v>0</v>
      </c>
      <c r="W203">
        <v>2151661</v>
      </c>
      <c r="X203">
        <v>2151291</v>
      </c>
      <c r="Y203">
        <v>17987418</v>
      </c>
      <c r="Z203">
        <v>18169458</v>
      </c>
      <c r="AA203">
        <f t="shared" si="7"/>
        <v>75871</v>
      </c>
      <c r="AB203">
        <f t="shared" si="6"/>
        <v>0.46406336280579036</v>
      </c>
    </row>
    <row r="204" spans="1:28">
      <c r="A204" t="s">
        <v>33</v>
      </c>
      <c r="B204" s="2">
        <v>44713</v>
      </c>
      <c r="C204" s="2">
        <v>44682</v>
      </c>
      <c r="E204">
        <v>67407299</v>
      </c>
      <c r="F204">
        <v>67372990</v>
      </c>
      <c r="G204">
        <v>-34309</v>
      </c>
      <c r="H204">
        <v>89.21</v>
      </c>
      <c r="I204">
        <v>630000</v>
      </c>
      <c r="J204" t="s">
        <v>29</v>
      </c>
      <c r="K204">
        <v>47.61</v>
      </c>
      <c r="L204">
        <v>48.24</v>
      </c>
      <c r="M204">
        <v>11892823</v>
      </c>
      <c r="N204">
        <v>11622248</v>
      </c>
      <c r="O204">
        <v>64</v>
      </c>
      <c r="P204">
        <v>64</v>
      </c>
      <c r="Q204">
        <v>23847573</v>
      </c>
      <c r="R204">
        <v>23835491</v>
      </c>
      <c r="S204">
        <v>5552542</v>
      </c>
      <c r="T204">
        <v>5510968</v>
      </c>
      <c r="U204">
        <v>0</v>
      </c>
      <c r="V204">
        <v>0</v>
      </c>
      <c r="W204">
        <v>0</v>
      </c>
      <c r="X204">
        <v>0</v>
      </c>
      <c r="Y204">
        <v>26114297</v>
      </c>
      <c r="Z204">
        <v>26404219</v>
      </c>
      <c r="AA204">
        <f t="shared" si="7"/>
        <v>-12082</v>
      </c>
      <c r="AB204">
        <f t="shared" si="6"/>
        <v>-5.0663436484710625E-2</v>
      </c>
    </row>
    <row r="205" spans="1:28">
      <c r="A205" t="s">
        <v>34</v>
      </c>
      <c r="B205" s="2">
        <v>44713</v>
      </c>
      <c r="C205" s="2">
        <v>44682</v>
      </c>
      <c r="E205">
        <v>26651927</v>
      </c>
      <c r="F205">
        <v>27124318</v>
      </c>
      <c r="G205">
        <v>472391</v>
      </c>
      <c r="H205">
        <v>85.1</v>
      </c>
      <c r="I205">
        <v>240000</v>
      </c>
      <c r="J205" t="s">
        <v>29</v>
      </c>
      <c r="K205">
        <v>23.38</v>
      </c>
      <c r="L205">
        <v>23.62</v>
      </c>
      <c r="M205">
        <v>5982851</v>
      </c>
      <c r="N205">
        <v>6202510</v>
      </c>
      <c r="O205">
        <v>18</v>
      </c>
      <c r="P205">
        <v>18</v>
      </c>
      <c r="Q205">
        <v>7798065</v>
      </c>
      <c r="R205">
        <v>7796890</v>
      </c>
      <c r="S205">
        <v>4730055</v>
      </c>
      <c r="T205">
        <v>4731997</v>
      </c>
      <c r="U205">
        <v>0</v>
      </c>
      <c r="V205">
        <v>0</v>
      </c>
      <c r="W205">
        <v>0</v>
      </c>
      <c r="X205">
        <v>0</v>
      </c>
      <c r="Y205">
        <v>8140938</v>
      </c>
      <c r="Z205">
        <v>8392903</v>
      </c>
      <c r="AA205">
        <f t="shared" si="7"/>
        <v>-1175</v>
      </c>
      <c r="AB205">
        <f t="shared" si="6"/>
        <v>-1.5067840547623033E-2</v>
      </c>
    </row>
    <row r="206" spans="1:28">
      <c r="A206" t="s">
        <v>35</v>
      </c>
      <c r="B206" s="2">
        <v>44713</v>
      </c>
      <c r="C206" s="2">
        <v>44682</v>
      </c>
      <c r="E206">
        <v>9927654</v>
      </c>
      <c r="F206">
        <v>9781039</v>
      </c>
      <c r="G206">
        <v>-146615</v>
      </c>
      <c r="H206">
        <v>111.82</v>
      </c>
      <c r="I206">
        <v>40000</v>
      </c>
      <c r="J206" t="s">
        <v>29</v>
      </c>
      <c r="K206">
        <v>3.18</v>
      </c>
      <c r="L206">
        <v>3.22</v>
      </c>
      <c r="M206">
        <v>3315326</v>
      </c>
      <c r="N206">
        <v>3323745</v>
      </c>
      <c r="O206">
        <v>92</v>
      </c>
      <c r="P206">
        <v>92</v>
      </c>
      <c r="Q206">
        <v>547019</v>
      </c>
      <c r="R206">
        <v>539042</v>
      </c>
      <c r="S206">
        <v>2738350</v>
      </c>
      <c r="T206">
        <v>2722613</v>
      </c>
      <c r="U206">
        <v>0</v>
      </c>
      <c r="V206">
        <v>0</v>
      </c>
      <c r="W206">
        <v>0</v>
      </c>
      <c r="X206">
        <v>0</v>
      </c>
      <c r="Y206">
        <v>3326867</v>
      </c>
      <c r="Z206">
        <v>3195547</v>
      </c>
      <c r="AA206">
        <f t="shared" si="7"/>
        <v>-7977</v>
      </c>
      <c r="AB206">
        <f t="shared" si="6"/>
        <v>-1.4582674459205256</v>
      </c>
    </row>
    <row r="207" spans="1:28">
      <c r="A207" t="s">
        <v>36</v>
      </c>
      <c r="B207" s="2">
        <v>44713</v>
      </c>
      <c r="C207" s="2">
        <v>44682</v>
      </c>
      <c r="E207">
        <v>12263670</v>
      </c>
      <c r="F207">
        <v>11750713</v>
      </c>
      <c r="G207">
        <v>-512957</v>
      </c>
      <c r="H207">
        <v>82.84</v>
      </c>
      <c r="I207">
        <v>30000</v>
      </c>
      <c r="J207" t="s">
        <v>29</v>
      </c>
      <c r="K207">
        <v>1.6</v>
      </c>
      <c r="L207">
        <v>1.63</v>
      </c>
      <c r="M207">
        <v>5751254</v>
      </c>
      <c r="N207">
        <v>5792073</v>
      </c>
      <c r="O207">
        <v>0</v>
      </c>
      <c r="P207">
        <v>0</v>
      </c>
      <c r="Q207">
        <v>437212</v>
      </c>
      <c r="R207">
        <v>416947</v>
      </c>
      <c r="S207">
        <v>1324220</v>
      </c>
      <c r="T207">
        <v>827217</v>
      </c>
      <c r="U207">
        <v>0</v>
      </c>
      <c r="V207">
        <v>0</v>
      </c>
      <c r="W207">
        <v>0</v>
      </c>
      <c r="X207">
        <v>0</v>
      </c>
      <c r="Y207">
        <v>4750984</v>
      </c>
      <c r="Z207">
        <v>4714476</v>
      </c>
      <c r="AA207">
        <f t="shared" si="7"/>
        <v>-20265</v>
      </c>
      <c r="AB207">
        <f t="shared" si="6"/>
        <v>-4.6350511879820315</v>
      </c>
    </row>
    <row r="208" spans="1:28">
      <c r="A208" t="s">
        <v>37</v>
      </c>
      <c r="B208" s="2">
        <v>44713</v>
      </c>
      <c r="C208" s="2">
        <v>44682</v>
      </c>
      <c r="E208">
        <v>65110222</v>
      </c>
      <c r="F208">
        <v>65209504</v>
      </c>
      <c r="G208">
        <v>99282</v>
      </c>
      <c r="H208">
        <v>88.66</v>
      </c>
      <c r="I208">
        <v>500000</v>
      </c>
      <c r="J208" t="s">
        <v>29</v>
      </c>
      <c r="K208">
        <v>54.02</v>
      </c>
      <c r="L208">
        <v>54.52</v>
      </c>
      <c r="M208">
        <v>30667166</v>
      </c>
      <c r="N208">
        <v>30777403</v>
      </c>
      <c r="O208">
        <v>615</v>
      </c>
      <c r="P208">
        <v>615</v>
      </c>
      <c r="Q208">
        <v>7572092</v>
      </c>
      <c r="R208">
        <v>7473709</v>
      </c>
      <c r="S208">
        <v>6794850</v>
      </c>
      <c r="T208">
        <v>6759194</v>
      </c>
      <c r="U208">
        <v>0</v>
      </c>
      <c r="V208">
        <v>0</v>
      </c>
      <c r="W208">
        <v>0</v>
      </c>
      <c r="X208">
        <v>0</v>
      </c>
      <c r="Y208">
        <v>20075499</v>
      </c>
      <c r="Z208">
        <v>20198583</v>
      </c>
      <c r="AA208">
        <f t="shared" si="7"/>
        <v>-98383</v>
      </c>
      <c r="AB208">
        <f t="shared" si="6"/>
        <v>-1.299284266488046</v>
      </c>
    </row>
    <row r="209" spans="1:28">
      <c r="A209" t="s">
        <v>38</v>
      </c>
      <c r="B209" s="2">
        <v>44713</v>
      </c>
      <c r="C209" s="2">
        <v>44682</v>
      </c>
      <c r="E209">
        <v>43030273</v>
      </c>
      <c r="F209">
        <v>42881840</v>
      </c>
      <c r="G209">
        <v>-148433</v>
      </c>
      <c r="H209">
        <v>92.62</v>
      </c>
      <c r="I209">
        <v>200000</v>
      </c>
      <c r="J209" t="s">
        <v>29</v>
      </c>
      <c r="K209">
        <v>18.78</v>
      </c>
      <c r="L209">
        <v>18.98</v>
      </c>
      <c r="M209">
        <v>7773984</v>
      </c>
      <c r="N209">
        <v>7798383</v>
      </c>
      <c r="O209">
        <v>157</v>
      </c>
      <c r="P209">
        <v>157</v>
      </c>
      <c r="Q209">
        <v>15467939</v>
      </c>
      <c r="R209">
        <v>15278510</v>
      </c>
      <c r="S209">
        <v>10413886</v>
      </c>
      <c r="T209">
        <v>10319550</v>
      </c>
      <c r="U209">
        <v>0</v>
      </c>
      <c r="V209">
        <v>0</v>
      </c>
      <c r="W209">
        <v>0</v>
      </c>
      <c r="X209">
        <v>0</v>
      </c>
      <c r="Y209">
        <v>9374307</v>
      </c>
      <c r="Z209">
        <v>9485240</v>
      </c>
      <c r="AA209">
        <f t="shared" si="7"/>
        <v>-189429</v>
      </c>
      <c r="AB209">
        <f t="shared" si="6"/>
        <v>-1.2246557217480623</v>
      </c>
    </row>
    <row r="210" spans="1:28">
      <c r="A210" t="s">
        <v>39</v>
      </c>
      <c r="B210" s="2">
        <v>44713</v>
      </c>
      <c r="C210" s="2">
        <v>44682</v>
      </c>
      <c r="E210">
        <v>23806248</v>
      </c>
      <c r="F210">
        <v>23812342</v>
      </c>
      <c r="G210">
        <v>6094</v>
      </c>
      <c r="H210">
        <v>87.87</v>
      </c>
      <c r="I210">
        <v>120000</v>
      </c>
      <c r="J210" t="s">
        <v>29</v>
      </c>
      <c r="K210">
        <v>14.35</v>
      </c>
      <c r="L210">
        <v>14.47</v>
      </c>
      <c r="M210">
        <v>5715602</v>
      </c>
      <c r="N210">
        <v>5703819</v>
      </c>
      <c r="O210">
        <v>0</v>
      </c>
      <c r="P210">
        <v>0</v>
      </c>
      <c r="Q210">
        <v>6092618</v>
      </c>
      <c r="R210">
        <v>6080093</v>
      </c>
      <c r="S210">
        <v>2143362</v>
      </c>
      <c r="T210">
        <v>2158452</v>
      </c>
      <c r="U210">
        <v>0</v>
      </c>
      <c r="V210">
        <v>0</v>
      </c>
      <c r="W210">
        <v>0</v>
      </c>
      <c r="X210">
        <v>0</v>
      </c>
      <c r="Y210">
        <v>9854666</v>
      </c>
      <c r="Z210">
        <v>9869978</v>
      </c>
      <c r="AA210">
        <f t="shared" si="7"/>
        <v>-12525</v>
      </c>
      <c r="AB210">
        <f t="shared" si="6"/>
        <v>-0.20557665030041272</v>
      </c>
    </row>
    <row r="211" spans="1:28">
      <c r="A211" t="s">
        <v>40</v>
      </c>
      <c r="B211" s="2">
        <v>44713</v>
      </c>
      <c r="C211" s="2">
        <v>44682</v>
      </c>
      <c r="E211">
        <v>77072131</v>
      </c>
      <c r="F211">
        <v>77265567</v>
      </c>
      <c r="G211">
        <v>193436</v>
      </c>
      <c r="H211">
        <v>82.3</v>
      </c>
      <c r="I211">
        <v>820000</v>
      </c>
      <c r="J211" t="s">
        <v>29</v>
      </c>
      <c r="K211">
        <v>51.88</v>
      </c>
      <c r="L211">
        <v>52.7</v>
      </c>
      <c r="M211">
        <v>15220231</v>
      </c>
      <c r="N211">
        <v>15281659</v>
      </c>
      <c r="O211">
        <v>0</v>
      </c>
      <c r="P211">
        <v>0</v>
      </c>
      <c r="Q211">
        <v>19850888</v>
      </c>
      <c r="R211">
        <v>19544985</v>
      </c>
      <c r="S211">
        <v>5896799</v>
      </c>
      <c r="T211">
        <v>5818909</v>
      </c>
      <c r="U211">
        <v>0</v>
      </c>
      <c r="V211">
        <v>0</v>
      </c>
      <c r="W211">
        <v>0</v>
      </c>
      <c r="X211">
        <v>0</v>
      </c>
      <c r="Y211">
        <v>36104213</v>
      </c>
      <c r="Z211">
        <v>36620014</v>
      </c>
      <c r="AA211">
        <f t="shared" si="7"/>
        <v>-305903</v>
      </c>
      <c r="AB211">
        <f t="shared" si="6"/>
        <v>-1.5410041102443377</v>
      </c>
    </row>
    <row r="212" spans="1:28">
      <c r="A212" t="s">
        <v>41</v>
      </c>
      <c r="B212" s="2">
        <v>44713</v>
      </c>
      <c r="C212" s="2">
        <v>44682</v>
      </c>
      <c r="E212">
        <v>91788037</v>
      </c>
      <c r="F212">
        <v>92335529</v>
      </c>
      <c r="G212">
        <v>547492</v>
      </c>
      <c r="H212">
        <v>86.86</v>
      </c>
      <c r="I212">
        <v>790000</v>
      </c>
      <c r="J212" t="s">
        <v>29</v>
      </c>
      <c r="K212">
        <v>58.08</v>
      </c>
      <c r="L212">
        <v>58.87</v>
      </c>
      <c r="M212">
        <v>20352908</v>
      </c>
      <c r="N212">
        <v>20429513</v>
      </c>
      <c r="O212">
        <v>0</v>
      </c>
      <c r="P212">
        <v>0</v>
      </c>
      <c r="Q212">
        <v>28021176</v>
      </c>
      <c r="R212">
        <v>27756584</v>
      </c>
      <c r="S212">
        <v>6618175</v>
      </c>
      <c r="T212">
        <v>6618575</v>
      </c>
      <c r="U212">
        <v>0</v>
      </c>
      <c r="V212">
        <v>0</v>
      </c>
      <c r="W212">
        <v>0</v>
      </c>
      <c r="X212">
        <v>0</v>
      </c>
      <c r="Y212">
        <v>36795778</v>
      </c>
      <c r="Z212">
        <v>37530857</v>
      </c>
      <c r="AA212">
        <f t="shared" si="7"/>
        <v>-264592</v>
      </c>
      <c r="AB212">
        <f t="shared" si="6"/>
        <v>-0.94425730026462851</v>
      </c>
    </row>
    <row r="213" spans="1:28">
      <c r="A213" t="s">
        <v>42</v>
      </c>
      <c r="B213" s="2">
        <v>44713</v>
      </c>
      <c r="C213" s="2">
        <v>44682</v>
      </c>
      <c r="E213">
        <v>34455442</v>
      </c>
      <c r="F213">
        <v>34172212</v>
      </c>
      <c r="G213">
        <v>-283230</v>
      </c>
      <c r="H213">
        <v>67.73</v>
      </c>
      <c r="I213">
        <v>160000</v>
      </c>
      <c r="J213" t="s">
        <v>29</v>
      </c>
      <c r="K213">
        <v>27.71</v>
      </c>
      <c r="L213">
        <v>27.87</v>
      </c>
      <c r="M213">
        <v>9669355</v>
      </c>
      <c r="N213">
        <v>9525925</v>
      </c>
      <c r="O213">
        <v>1214</v>
      </c>
      <c r="P213">
        <v>1214</v>
      </c>
      <c r="Q213">
        <v>11872510</v>
      </c>
      <c r="R213">
        <v>11702577</v>
      </c>
      <c r="S213">
        <v>0</v>
      </c>
      <c r="T213">
        <v>0</v>
      </c>
      <c r="U213">
        <v>0</v>
      </c>
      <c r="V213">
        <v>0</v>
      </c>
      <c r="W213">
        <v>1091178</v>
      </c>
      <c r="X213">
        <v>1088510</v>
      </c>
      <c r="Y213">
        <v>11821185</v>
      </c>
      <c r="Z213">
        <v>11853986</v>
      </c>
      <c r="AA213">
        <f t="shared" si="7"/>
        <v>-169933</v>
      </c>
      <c r="AB213">
        <f t="shared" si="6"/>
        <v>-1.4313148609687421</v>
      </c>
    </row>
    <row r="214" spans="1:28">
      <c r="A214" t="s">
        <v>43</v>
      </c>
      <c r="B214" s="2">
        <v>44713</v>
      </c>
      <c r="C214" s="2">
        <v>44682</v>
      </c>
      <c r="E214">
        <v>12069005</v>
      </c>
      <c r="F214">
        <v>11970040</v>
      </c>
      <c r="G214">
        <v>-98965</v>
      </c>
      <c r="H214">
        <v>92.62</v>
      </c>
      <c r="I214">
        <v>10000</v>
      </c>
      <c r="J214" t="s">
        <v>29</v>
      </c>
      <c r="K214">
        <v>1.76</v>
      </c>
      <c r="L214">
        <v>1.77</v>
      </c>
      <c r="M214">
        <v>5705140</v>
      </c>
      <c r="N214">
        <v>5733657</v>
      </c>
      <c r="O214">
        <v>0</v>
      </c>
      <c r="P214">
        <v>0</v>
      </c>
      <c r="Q214">
        <v>1085747</v>
      </c>
      <c r="R214">
        <v>1076669</v>
      </c>
      <c r="S214">
        <v>1410852</v>
      </c>
      <c r="T214">
        <v>1410265</v>
      </c>
      <c r="U214">
        <v>0</v>
      </c>
      <c r="V214">
        <v>0</v>
      </c>
      <c r="W214">
        <v>0</v>
      </c>
      <c r="X214">
        <v>0</v>
      </c>
      <c r="Y214">
        <v>3867266</v>
      </c>
      <c r="Z214">
        <v>3749449</v>
      </c>
      <c r="AA214">
        <f t="shared" si="7"/>
        <v>-9078</v>
      </c>
      <c r="AB214">
        <f t="shared" si="6"/>
        <v>-0.83610638574179807</v>
      </c>
    </row>
    <row r="215" spans="1:28">
      <c r="A215" t="s">
        <v>44</v>
      </c>
      <c r="B215" s="2">
        <v>44713</v>
      </c>
      <c r="C215" s="2">
        <v>44682</v>
      </c>
      <c r="E215">
        <v>32823108</v>
      </c>
      <c r="F215">
        <v>32810038</v>
      </c>
      <c r="G215">
        <v>-13070</v>
      </c>
      <c r="H215">
        <v>95.04</v>
      </c>
      <c r="I215">
        <v>120000</v>
      </c>
      <c r="J215" t="s">
        <v>29</v>
      </c>
      <c r="K215">
        <v>13.49</v>
      </c>
      <c r="L215">
        <v>13.61</v>
      </c>
      <c r="M215">
        <v>11139362</v>
      </c>
      <c r="N215">
        <v>11181653</v>
      </c>
      <c r="O215">
        <v>36</v>
      </c>
      <c r="P215">
        <v>36</v>
      </c>
      <c r="Q215">
        <v>1767520</v>
      </c>
      <c r="R215">
        <v>1727691</v>
      </c>
      <c r="S215">
        <v>6293182</v>
      </c>
      <c r="T215">
        <v>6296889</v>
      </c>
      <c r="U215">
        <v>0</v>
      </c>
      <c r="V215">
        <v>0</v>
      </c>
      <c r="W215">
        <v>0</v>
      </c>
      <c r="X215">
        <v>0</v>
      </c>
      <c r="Y215">
        <v>13623008</v>
      </c>
      <c r="Z215">
        <v>13603769</v>
      </c>
      <c r="AA215">
        <f t="shared" si="7"/>
        <v>-39829</v>
      </c>
      <c r="AB215">
        <f t="shared" si="6"/>
        <v>-2.253383271476419</v>
      </c>
    </row>
    <row r="216" spans="1:28">
      <c r="A216" t="s">
        <v>45</v>
      </c>
      <c r="B216" s="2">
        <v>44713</v>
      </c>
      <c r="C216" s="2">
        <v>44682</v>
      </c>
      <c r="E216">
        <v>36343383</v>
      </c>
      <c r="F216">
        <v>36351283</v>
      </c>
      <c r="G216">
        <v>7900</v>
      </c>
      <c r="H216">
        <v>82.32</v>
      </c>
      <c r="I216">
        <v>250000</v>
      </c>
      <c r="J216" t="s">
        <v>29</v>
      </c>
      <c r="K216">
        <v>25.7</v>
      </c>
      <c r="L216">
        <v>25.95</v>
      </c>
      <c r="M216">
        <v>11995354</v>
      </c>
      <c r="N216">
        <v>12000312</v>
      </c>
      <c r="O216">
        <v>115</v>
      </c>
      <c r="P216">
        <v>115</v>
      </c>
      <c r="Q216">
        <v>8434928</v>
      </c>
      <c r="R216">
        <v>8345197</v>
      </c>
      <c r="S216">
        <v>5234458</v>
      </c>
      <c r="T216">
        <v>5184123</v>
      </c>
      <c r="U216">
        <v>0</v>
      </c>
      <c r="V216">
        <v>0</v>
      </c>
      <c r="W216">
        <v>0</v>
      </c>
      <c r="X216">
        <v>0</v>
      </c>
      <c r="Y216">
        <v>10678528</v>
      </c>
      <c r="Z216">
        <v>10821536</v>
      </c>
      <c r="AA216">
        <f t="shared" si="7"/>
        <v>-89731</v>
      </c>
      <c r="AB216">
        <f t="shared" si="6"/>
        <v>-1.063802797131167</v>
      </c>
    </row>
    <row r="217" spans="1:28">
      <c r="A217" t="s">
        <v>46</v>
      </c>
      <c r="B217" s="2">
        <v>44713</v>
      </c>
      <c r="C217" s="2">
        <v>44682</v>
      </c>
      <c r="E217">
        <v>63052607</v>
      </c>
      <c r="F217">
        <v>63131721</v>
      </c>
      <c r="G217">
        <v>79114</v>
      </c>
      <c r="H217">
        <v>90.39</v>
      </c>
      <c r="I217">
        <v>680000</v>
      </c>
      <c r="J217" t="s">
        <v>29</v>
      </c>
      <c r="K217">
        <v>50.37</v>
      </c>
      <c r="L217">
        <v>51.05</v>
      </c>
      <c r="M217">
        <v>21911912</v>
      </c>
      <c r="N217">
        <v>22005978</v>
      </c>
      <c r="O217">
        <v>169</v>
      </c>
      <c r="P217">
        <v>169</v>
      </c>
      <c r="Q217">
        <v>10981737</v>
      </c>
      <c r="R217">
        <v>10891351</v>
      </c>
      <c r="S217">
        <v>6482475</v>
      </c>
      <c r="T217">
        <v>6441357</v>
      </c>
      <c r="U217">
        <v>0</v>
      </c>
      <c r="V217">
        <v>0</v>
      </c>
      <c r="W217">
        <v>0</v>
      </c>
      <c r="X217">
        <v>0</v>
      </c>
      <c r="Y217">
        <v>23676314</v>
      </c>
      <c r="Z217">
        <v>23792866</v>
      </c>
      <c r="AA217">
        <f t="shared" si="7"/>
        <v>-90386</v>
      </c>
      <c r="AB217">
        <f t="shared" si="6"/>
        <v>-0.82305740885981882</v>
      </c>
    </row>
    <row r="218" spans="1:28">
      <c r="A218" t="s">
        <v>47</v>
      </c>
      <c r="B218" s="2">
        <v>44713</v>
      </c>
      <c r="C218" s="2">
        <v>44682</v>
      </c>
      <c r="E218">
        <v>79020329</v>
      </c>
      <c r="F218">
        <v>78964207</v>
      </c>
      <c r="G218">
        <v>-56122</v>
      </c>
      <c r="H218">
        <v>93.3</v>
      </c>
      <c r="I218">
        <v>350000</v>
      </c>
      <c r="J218" t="s">
        <v>29</v>
      </c>
      <c r="K218">
        <v>50.44</v>
      </c>
      <c r="L218">
        <v>50.79</v>
      </c>
      <c r="M218">
        <v>27216753</v>
      </c>
      <c r="N218">
        <v>27100431</v>
      </c>
      <c r="O218">
        <v>291</v>
      </c>
      <c r="P218">
        <v>291</v>
      </c>
      <c r="Q218">
        <v>17705521</v>
      </c>
      <c r="R218">
        <v>17654593</v>
      </c>
      <c r="S218">
        <v>9758250</v>
      </c>
      <c r="T218">
        <v>9851076</v>
      </c>
      <c r="U218">
        <v>64524</v>
      </c>
      <c r="V218">
        <v>68601</v>
      </c>
      <c r="W218">
        <v>0</v>
      </c>
      <c r="X218">
        <v>0</v>
      </c>
      <c r="Y218">
        <v>24274990</v>
      </c>
      <c r="Z218">
        <v>24289215</v>
      </c>
      <c r="AA218">
        <f t="shared" si="7"/>
        <v>-50928</v>
      </c>
      <c r="AB218">
        <f t="shared" si="6"/>
        <v>-0.28763909291344769</v>
      </c>
    </row>
    <row r="219" spans="1:28">
      <c r="A219" t="s">
        <v>48</v>
      </c>
      <c r="B219" s="2">
        <v>44713</v>
      </c>
      <c r="C219" s="2">
        <v>44682</v>
      </c>
      <c r="E219">
        <v>101548290</v>
      </c>
      <c r="F219">
        <v>101719819</v>
      </c>
      <c r="G219">
        <v>171529</v>
      </c>
      <c r="H219">
        <v>87.85</v>
      </c>
      <c r="I219">
        <v>1190000</v>
      </c>
      <c r="J219" t="s">
        <v>29</v>
      </c>
      <c r="K219">
        <v>55.13</v>
      </c>
      <c r="L219">
        <v>56.32</v>
      </c>
      <c r="M219">
        <v>37467926</v>
      </c>
      <c r="N219">
        <v>37292054</v>
      </c>
      <c r="O219">
        <v>0</v>
      </c>
      <c r="P219">
        <v>0</v>
      </c>
      <c r="Q219">
        <v>20234110</v>
      </c>
      <c r="R219">
        <v>20159319</v>
      </c>
      <c r="S219">
        <v>10918759</v>
      </c>
      <c r="T219">
        <v>10800275</v>
      </c>
      <c r="U219">
        <v>0</v>
      </c>
      <c r="V219">
        <v>0</v>
      </c>
      <c r="W219">
        <v>0</v>
      </c>
      <c r="X219">
        <v>0</v>
      </c>
      <c r="Y219">
        <v>32927495</v>
      </c>
      <c r="Z219">
        <v>33468171</v>
      </c>
      <c r="AA219">
        <f t="shared" si="7"/>
        <v>-74791</v>
      </c>
      <c r="AB219">
        <f t="shared" si="6"/>
        <v>-0.3696283157499885</v>
      </c>
    </row>
    <row r="220" spans="1:28">
      <c r="A220" t="s">
        <v>49</v>
      </c>
      <c r="B220" s="2">
        <v>44713</v>
      </c>
      <c r="C220" s="2">
        <v>44682</v>
      </c>
      <c r="E220">
        <v>64453974</v>
      </c>
      <c r="F220">
        <v>64477657</v>
      </c>
      <c r="G220">
        <v>23683</v>
      </c>
      <c r="H220">
        <v>83.71</v>
      </c>
      <c r="I220">
        <v>900000</v>
      </c>
      <c r="J220" t="s">
        <v>29</v>
      </c>
      <c r="K220">
        <v>43.32</v>
      </c>
      <c r="L220">
        <v>44.22</v>
      </c>
      <c r="M220">
        <v>18625214</v>
      </c>
      <c r="N220">
        <v>18661342</v>
      </c>
      <c r="O220">
        <v>9</v>
      </c>
      <c r="P220">
        <v>9</v>
      </c>
      <c r="Q220">
        <v>18568913</v>
      </c>
      <c r="R220">
        <v>18406223</v>
      </c>
      <c r="S220">
        <v>5844711</v>
      </c>
      <c r="T220">
        <v>5790363</v>
      </c>
      <c r="U220">
        <v>0</v>
      </c>
      <c r="V220">
        <v>0</v>
      </c>
      <c r="W220">
        <v>0</v>
      </c>
      <c r="X220">
        <v>0</v>
      </c>
      <c r="Y220">
        <v>21415127</v>
      </c>
      <c r="Z220">
        <v>21619720</v>
      </c>
      <c r="AA220">
        <f t="shared" si="7"/>
        <v>-162690</v>
      </c>
      <c r="AB220">
        <f t="shared" si="6"/>
        <v>-0.87614175369339053</v>
      </c>
    </row>
    <row r="221" spans="1:28">
      <c r="A221" t="s">
        <v>50</v>
      </c>
      <c r="B221" s="2">
        <v>44713</v>
      </c>
      <c r="C221" s="2">
        <v>44682</v>
      </c>
      <c r="E221">
        <v>56747271</v>
      </c>
      <c r="F221">
        <v>56983188</v>
      </c>
      <c r="G221">
        <v>235917</v>
      </c>
      <c r="H221">
        <v>86.77</v>
      </c>
      <c r="I221">
        <v>500000</v>
      </c>
      <c r="J221" t="s">
        <v>29</v>
      </c>
      <c r="K221">
        <v>37.520000000000003</v>
      </c>
      <c r="L221">
        <v>38.020000000000003</v>
      </c>
      <c r="M221">
        <v>16066250</v>
      </c>
      <c r="N221">
        <v>16235000</v>
      </c>
      <c r="O221">
        <v>172</v>
      </c>
      <c r="P221">
        <v>172</v>
      </c>
      <c r="Q221">
        <v>15720882</v>
      </c>
      <c r="R221">
        <v>15665406</v>
      </c>
      <c r="S221">
        <v>2697798</v>
      </c>
      <c r="T221">
        <v>2361967</v>
      </c>
      <c r="U221">
        <v>0</v>
      </c>
      <c r="V221">
        <v>0</v>
      </c>
      <c r="W221">
        <v>0</v>
      </c>
      <c r="X221">
        <v>0</v>
      </c>
      <c r="Y221">
        <v>22262169</v>
      </c>
      <c r="Z221">
        <v>22720643</v>
      </c>
      <c r="AA221">
        <f t="shared" si="7"/>
        <v>-55476</v>
      </c>
      <c r="AB221">
        <f t="shared" si="6"/>
        <v>-0.3528809643123077</v>
      </c>
    </row>
    <row r="222" spans="1:28">
      <c r="A222" t="s">
        <v>28</v>
      </c>
      <c r="B222" s="2">
        <v>44743</v>
      </c>
      <c r="C222" s="2">
        <v>44713</v>
      </c>
      <c r="D222" s="2">
        <v>44819</v>
      </c>
      <c r="E222">
        <v>83212998</v>
      </c>
      <c r="F222">
        <v>83156962</v>
      </c>
      <c r="G222">
        <v>-56036</v>
      </c>
      <c r="H222">
        <v>90.9</v>
      </c>
      <c r="I222">
        <v>520000</v>
      </c>
      <c r="J222" t="s">
        <v>29</v>
      </c>
      <c r="K222">
        <v>52.83</v>
      </c>
      <c r="L222">
        <v>53.35</v>
      </c>
      <c r="M222">
        <v>31538725</v>
      </c>
      <c r="N222">
        <v>31662370</v>
      </c>
      <c r="O222">
        <v>0</v>
      </c>
      <c r="P222">
        <v>0</v>
      </c>
      <c r="Q222">
        <v>13356859</v>
      </c>
      <c r="R222">
        <v>13003669</v>
      </c>
      <c r="S222">
        <v>9012485</v>
      </c>
      <c r="T222">
        <v>8975581</v>
      </c>
      <c r="U222">
        <v>0</v>
      </c>
      <c r="V222">
        <v>0</v>
      </c>
      <c r="W222">
        <v>0</v>
      </c>
      <c r="X222">
        <v>0</v>
      </c>
      <c r="Y222">
        <v>29304929</v>
      </c>
      <c r="Z222">
        <v>29515342</v>
      </c>
      <c r="AA222">
        <f t="shared" si="7"/>
        <v>-353190</v>
      </c>
      <c r="AB222">
        <f t="shared" si="6"/>
        <v>-2.6442594026035611</v>
      </c>
    </row>
    <row r="223" spans="1:28">
      <c r="A223" t="s">
        <v>30</v>
      </c>
      <c r="B223" s="2">
        <v>44743</v>
      </c>
      <c r="C223" s="2">
        <v>44713</v>
      </c>
      <c r="D223" s="2">
        <v>44819</v>
      </c>
      <c r="E223">
        <v>24109665</v>
      </c>
      <c r="F223">
        <v>24310470</v>
      </c>
      <c r="G223">
        <v>200805</v>
      </c>
      <c r="H223">
        <v>90.01</v>
      </c>
      <c r="I223">
        <v>70000</v>
      </c>
      <c r="J223" t="s">
        <v>29</v>
      </c>
      <c r="K223">
        <v>5.14</v>
      </c>
      <c r="L223">
        <v>5.21</v>
      </c>
      <c r="M223">
        <v>10201674</v>
      </c>
      <c r="N223">
        <v>10267397</v>
      </c>
      <c r="O223">
        <v>0</v>
      </c>
      <c r="P223">
        <v>0</v>
      </c>
      <c r="Q223">
        <v>2410870</v>
      </c>
      <c r="R223">
        <v>2364854</v>
      </c>
      <c r="S223">
        <v>3250243</v>
      </c>
      <c r="T223">
        <v>3267601</v>
      </c>
      <c r="U223">
        <v>0</v>
      </c>
      <c r="V223">
        <v>0</v>
      </c>
      <c r="W223">
        <v>0</v>
      </c>
      <c r="X223">
        <v>0</v>
      </c>
      <c r="Y223">
        <v>8246878</v>
      </c>
      <c r="Z223">
        <v>8410618</v>
      </c>
      <c r="AA223">
        <f t="shared" si="7"/>
        <v>-46016</v>
      </c>
      <c r="AB223">
        <f t="shared" si="6"/>
        <v>-1.9086885647090053</v>
      </c>
    </row>
    <row r="224" spans="1:28">
      <c r="A224" t="s">
        <v>31</v>
      </c>
      <c r="B224" s="2">
        <v>44743</v>
      </c>
      <c r="C224" s="2">
        <v>44713</v>
      </c>
      <c r="D224" s="2">
        <v>44819</v>
      </c>
      <c r="E224">
        <v>88949562</v>
      </c>
      <c r="F224">
        <v>89684514</v>
      </c>
      <c r="G224">
        <v>734952</v>
      </c>
      <c r="H224">
        <v>78.27</v>
      </c>
      <c r="I224">
        <v>680000</v>
      </c>
      <c r="J224" t="s">
        <v>29</v>
      </c>
      <c r="K224">
        <v>36.33</v>
      </c>
      <c r="L224">
        <v>37.01</v>
      </c>
      <c r="M224">
        <v>38301968</v>
      </c>
      <c r="N224">
        <v>38816333</v>
      </c>
      <c r="O224">
        <v>0</v>
      </c>
      <c r="P224">
        <v>0</v>
      </c>
      <c r="Q224">
        <v>10101469</v>
      </c>
      <c r="R224">
        <v>10128738</v>
      </c>
      <c r="S224">
        <v>5587868</v>
      </c>
      <c r="T224">
        <v>5627609</v>
      </c>
      <c r="U224">
        <v>0</v>
      </c>
      <c r="V224">
        <v>0</v>
      </c>
      <c r="W224">
        <v>0</v>
      </c>
      <c r="X224">
        <v>0</v>
      </c>
      <c r="Y224">
        <v>34958257</v>
      </c>
      <c r="Z224">
        <v>35111834</v>
      </c>
      <c r="AA224">
        <f t="shared" si="7"/>
        <v>27269</v>
      </c>
      <c r="AB224">
        <f t="shared" si="6"/>
        <v>0.26995083586357588</v>
      </c>
    </row>
    <row r="225" spans="1:28">
      <c r="A225" t="s">
        <v>32</v>
      </c>
      <c r="B225" s="2">
        <v>44743</v>
      </c>
      <c r="C225" s="2">
        <v>44713</v>
      </c>
      <c r="D225" s="2">
        <v>44819</v>
      </c>
      <c r="E225">
        <v>53004319</v>
      </c>
      <c r="F225">
        <v>52617280</v>
      </c>
      <c r="G225">
        <v>-387039</v>
      </c>
      <c r="H225">
        <v>66.06</v>
      </c>
      <c r="I225">
        <v>450000</v>
      </c>
      <c r="J225" t="s">
        <v>29</v>
      </c>
      <c r="K225">
        <v>34.4</v>
      </c>
      <c r="L225">
        <v>34.85</v>
      </c>
      <c r="M225">
        <v>16258221</v>
      </c>
      <c r="N225">
        <v>16304284</v>
      </c>
      <c r="O225">
        <v>202</v>
      </c>
      <c r="P225">
        <v>200</v>
      </c>
      <c r="Q225">
        <v>16425147</v>
      </c>
      <c r="R225">
        <v>16444876</v>
      </c>
      <c r="S225">
        <v>0</v>
      </c>
      <c r="T225">
        <v>0</v>
      </c>
      <c r="U225">
        <v>0</v>
      </c>
      <c r="V225">
        <v>0</v>
      </c>
      <c r="W225">
        <v>2151291</v>
      </c>
      <c r="X225">
        <v>1692461</v>
      </c>
      <c r="Y225">
        <v>18169458</v>
      </c>
      <c r="Z225">
        <v>18175459</v>
      </c>
      <c r="AA225">
        <f t="shared" si="7"/>
        <v>19729</v>
      </c>
      <c r="AB225">
        <f t="shared" si="6"/>
        <v>0.1201146023228894</v>
      </c>
    </row>
    <row r="226" spans="1:28">
      <c r="A226" t="s">
        <v>33</v>
      </c>
      <c r="B226" s="2">
        <v>44743</v>
      </c>
      <c r="C226" s="2">
        <v>44713</v>
      </c>
      <c r="D226" s="2">
        <v>44819</v>
      </c>
      <c r="E226">
        <v>67372990</v>
      </c>
      <c r="F226">
        <v>67262005</v>
      </c>
      <c r="G226">
        <v>-110985</v>
      </c>
      <c r="H226">
        <v>89.53</v>
      </c>
      <c r="I226">
        <v>790000</v>
      </c>
      <c r="J226" t="s">
        <v>29</v>
      </c>
      <c r="K226">
        <v>48.24</v>
      </c>
      <c r="L226">
        <v>49.03</v>
      </c>
      <c r="M226">
        <v>11622248</v>
      </c>
      <c r="N226">
        <v>11503148</v>
      </c>
      <c r="O226">
        <v>64</v>
      </c>
      <c r="P226">
        <v>61</v>
      </c>
      <c r="Q226">
        <v>23835491</v>
      </c>
      <c r="R226">
        <v>23746631</v>
      </c>
      <c r="S226">
        <v>5510968</v>
      </c>
      <c r="T226">
        <v>5429139</v>
      </c>
      <c r="U226">
        <v>0</v>
      </c>
      <c r="V226">
        <v>0</v>
      </c>
      <c r="W226">
        <v>0</v>
      </c>
      <c r="X226">
        <v>0</v>
      </c>
      <c r="Y226">
        <v>26404219</v>
      </c>
      <c r="Z226">
        <v>26583026</v>
      </c>
      <c r="AA226">
        <f t="shared" si="7"/>
        <v>-88860</v>
      </c>
      <c r="AB226">
        <f t="shared" si="6"/>
        <v>-0.37280541021789732</v>
      </c>
    </row>
    <row r="227" spans="1:28">
      <c r="A227" t="s">
        <v>34</v>
      </c>
      <c r="B227" s="2">
        <v>44743</v>
      </c>
      <c r="C227" s="2">
        <v>44713</v>
      </c>
      <c r="D227" s="2">
        <v>44819</v>
      </c>
      <c r="E227">
        <v>27124318</v>
      </c>
      <c r="F227">
        <v>26818858</v>
      </c>
      <c r="G227">
        <v>-305460</v>
      </c>
      <c r="H227">
        <v>85.09</v>
      </c>
      <c r="I227">
        <v>260000</v>
      </c>
      <c r="J227" t="s">
        <v>29</v>
      </c>
      <c r="K227">
        <v>23.62</v>
      </c>
      <c r="L227">
        <v>23.88</v>
      </c>
      <c r="M227">
        <v>6202510</v>
      </c>
      <c r="N227">
        <v>6240683</v>
      </c>
      <c r="O227">
        <v>18</v>
      </c>
      <c r="P227">
        <v>13</v>
      </c>
      <c r="Q227">
        <v>7796890</v>
      </c>
      <c r="R227">
        <v>7800804</v>
      </c>
      <c r="S227">
        <v>4731997</v>
      </c>
      <c r="T227">
        <v>4674849</v>
      </c>
      <c r="U227">
        <v>0</v>
      </c>
      <c r="V227">
        <v>0</v>
      </c>
      <c r="W227">
        <v>0</v>
      </c>
      <c r="X227">
        <v>0</v>
      </c>
      <c r="Y227">
        <v>8392903</v>
      </c>
      <c r="Z227">
        <v>8102509</v>
      </c>
      <c r="AA227">
        <f t="shared" si="7"/>
        <v>3914</v>
      </c>
      <c r="AB227">
        <f t="shared" si="6"/>
        <v>5.0199502622199361E-2</v>
      </c>
    </row>
    <row r="228" spans="1:28">
      <c r="A228" t="s">
        <v>35</v>
      </c>
      <c r="B228" s="2">
        <v>44743</v>
      </c>
      <c r="C228" s="2">
        <v>44713</v>
      </c>
      <c r="D228" s="2">
        <v>44819</v>
      </c>
      <c r="E228">
        <v>9781039</v>
      </c>
      <c r="F228">
        <v>9805156</v>
      </c>
      <c r="G228">
        <v>24117</v>
      </c>
      <c r="H228">
        <v>104.4</v>
      </c>
      <c r="I228">
        <v>40000</v>
      </c>
      <c r="J228" t="s">
        <v>29</v>
      </c>
      <c r="K228">
        <v>3.22</v>
      </c>
      <c r="L228">
        <v>3.26</v>
      </c>
      <c r="M228">
        <v>3323745</v>
      </c>
      <c r="N228">
        <v>3320505</v>
      </c>
      <c r="O228">
        <v>92</v>
      </c>
      <c r="P228">
        <v>92</v>
      </c>
      <c r="Q228">
        <v>539042</v>
      </c>
      <c r="R228">
        <v>535351</v>
      </c>
      <c r="S228">
        <v>2722613</v>
      </c>
      <c r="T228">
        <v>2699499</v>
      </c>
      <c r="U228">
        <v>0</v>
      </c>
      <c r="V228">
        <v>0</v>
      </c>
      <c r="W228">
        <v>0</v>
      </c>
      <c r="X228">
        <v>0</v>
      </c>
      <c r="Y228">
        <v>3195547</v>
      </c>
      <c r="Z228">
        <v>3249709</v>
      </c>
      <c r="AA228">
        <f t="shared" si="7"/>
        <v>-3691</v>
      </c>
      <c r="AB228">
        <f t="shared" si="6"/>
        <v>-0.68473328608902451</v>
      </c>
    </row>
    <row r="229" spans="1:28">
      <c r="A229" t="s">
        <v>36</v>
      </c>
      <c r="B229" s="2">
        <v>44743</v>
      </c>
      <c r="C229" s="2">
        <v>44713</v>
      </c>
      <c r="D229" s="2">
        <v>44819</v>
      </c>
      <c r="E229">
        <v>11750713</v>
      </c>
      <c r="F229">
        <v>11913734</v>
      </c>
      <c r="G229">
        <v>163021</v>
      </c>
      <c r="H229">
        <v>78.81</v>
      </c>
      <c r="I229">
        <v>30000</v>
      </c>
      <c r="J229" t="s">
        <v>29</v>
      </c>
      <c r="K229">
        <v>1.63</v>
      </c>
      <c r="L229">
        <v>1.66</v>
      </c>
      <c r="M229">
        <v>5792073</v>
      </c>
      <c r="N229">
        <v>5835259</v>
      </c>
      <c r="O229">
        <v>0</v>
      </c>
      <c r="P229">
        <v>0</v>
      </c>
      <c r="Q229">
        <v>416947</v>
      </c>
      <c r="R229">
        <v>427464</v>
      </c>
      <c r="S229">
        <v>827217</v>
      </c>
      <c r="T229">
        <v>830837</v>
      </c>
      <c r="U229">
        <v>0</v>
      </c>
      <c r="V229">
        <v>0</v>
      </c>
      <c r="W229">
        <v>0</v>
      </c>
      <c r="X229">
        <v>0</v>
      </c>
      <c r="Y229">
        <v>4714476</v>
      </c>
      <c r="Z229">
        <v>4820174</v>
      </c>
      <c r="AA229">
        <f t="shared" si="7"/>
        <v>10517</v>
      </c>
      <c r="AB229">
        <f t="shared" si="6"/>
        <v>2.5223829407574585</v>
      </c>
    </row>
    <row r="230" spans="1:28">
      <c r="A230" t="s">
        <v>37</v>
      </c>
      <c r="B230" s="2">
        <v>44743</v>
      </c>
      <c r="C230" s="2">
        <v>44713</v>
      </c>
      <c r="D230" s="2">
        <v>44819</v>
      </c>
      <c r="E230">
        <v>65209504</v>
      </c>
      <c r="F230">
        <v>65398682</v>
      </c>
      <c r="G230">
        <v>189178</v>
      </c>
      <c r="H230">
        <v>87.65</v>
      </c>
      <c r="I230">
        <v>590000</v>
      </c>
      <c r="J230" t="s">
        <v>29</v>
      </c>
      <c r="K230">
        <v>54.52</v>
      </c>
      <c r="L230">
        <v>55.11</v>
      </c>
      <c r="M230">
        <v>30777403</v>
      </c>
      <c r="N230">
        <v>30818598</v>
      </c>
      <c r="O230">
        <v>615</v>
      </c>
      <c r="P230">
        <v>610</v>
      </c>
      <c r="Q230">
        <v>7473709</v>
      </c>
      <c r="R230">
        <v>7520391</v>
      </c>
      <c r="S230">
        <v>6759194</v>
      </c>
      <c r="T230">
        <v>6706785</v>
      </c>
      <c r="U230">
        <v>0</v>
      </c>
      <c r="V230">
        <v>0</v>
      </c>
      <c r="W230">
        <v>0</v>
      </c>
      <c r="X230">
        <v>0</v>
      </c>
      <c r="Y230">
        <v>20198583</v>
      </c>
      <c r="Z230">
        <v>20352298</v>
      </c>
      <c r="AA230">
        <f t="shared" si="7"/>
        <v>46682</v>
      </c>
      <c r="AB230">
        <f t="shared" si="6"/>
        <v>0.62461623806867517</v>
      </c>
    </row>
    <row r="231" spans="1:28">
      <c r="A231" t="s">
        <v>38</v>
      </c>
      <c r="B231" s="2">
        <v>44743</v>
      </c>
      <c r="C231" s="2">
        <v>44713</v>
      </c>
      <c r="D231" s="2">
        <v>44819</v>
      </c>
      <c r="E231">
        <v>42881840</v>
      </c>
      <c r="F231">
        <v>42831947</v>
      </c>
      <c r="G231">
        <v>-49893</v>
      </c>
      <c r="H231">
        <v>92.79</v>
      </c>
      <c r="I231">
        <v>200000</v>
      </c>
      <c r="J231" t="s">
        <v>29</v>
      </c>
      <c r="K231">
        <v>18.98</v>
      </c>
      <c r="L231">
        <v>19.18</v>
      </c>
      <c r="M231">
        <v>7798383</v>
      </c>
      <c r="N231">
        <v>7827365</v>
      </c>
      <c r="O231">
        <v>157</v>
      </c>
      <c r="P231">
        <v>152</v>
      </c>
      <c r="Q231">
        <v>15278510</v>
      </c>
      <c r="R231">
        <v>15120953</v>
      </c>
      <c r="S231">
        <v>10319550</v>
      </c>
      <c r="T231">
        <v>10291573</v>
      </c>
      <c r="U231">
        <v>0</v>
      </c>
      <c r="V231">
        <v>0</v>
      </c>
      <c r="W231">
        <v>0</v>
      </c>
      <c r="X231">
        <v>0</v>
      </c>
      <c r="Y231">
        <v>9485240</v>
      </c>
      <c r="Z231">
        <v>9591904</v>
      </c>
      <c r="AA231">
        <f t="shared" si="7"/>
        <v>-157557</v>
      </c>
      <c r="AB231">
        <f t="shared" si="6"/>
        <v>-1.031232757644561</v>
      </c>
    </row>
    <row r="232" spans="1:28">
      <c r="A232" t="s">
        <v>39</v>
      </c>
      <c r="B232" s="2">
        <v>44743</v>
      </c>
      <c r="C232" s="2">
        <v>44713</v>
      </c>
      <c r="D232" s="2">
        <v>44819</v>
      </c>
      <c r="E232">
        <v>23812342</v>
      </c>
      <c r="F232">
        <v>24019316</v>
      </c>
      <c r="G232">
        <v>206974</v>
      </c>
      <c r="H232">
        <v>88.11</v>
      </c>
      <c r="I232">
        <v>130000</v>
      </c>
      <c r="J232" t="s">
        <v>29</v>
      </c>
      <c r="K232">
        <v>14.47</v>
      </c>
      <c r="L232">
        <v>14.6</v>
      </c>
      <c r="M232">
        <v>5703819</v>
      </c>
      <c r="N232">
        <v>5707578</v>
      </c>
      <c r="O232">
        <v>0</v>
      </c>
      <c r="P232">
        <v>0</v>
      </c>
      <c r="Q232">
        <v>6080093</v>
      </c>
      <c r="R232">
        <v>6061242</v>
      </c>
      <c r="S232">
        <v>2158452</v>
      </c>
      <c r="T232">
        <v>2174826</v>
      </c>
      <c r="U232">
        <v>0</v>
      </c>
      <c r="V232">
        <v>0</v>
      </c>
      <c r="W232">
        <v>0</v>
      </c>
      <c r="X232">
        <v>0</v>
      </c>
      <c r="Y232">
        <v>9869978</v>
      </c>
      <c r="Z232">
        <v>10075670</v>
      </c>
      <c r="AA232">
        <f t="shared" si="7"/>
        <v>-18851</v>
      </c>
      <c r="AB232">
        <f t="shared" si="6"/>
        <v>-0.3100445996467488</v>
      </c>
    </row>
    <row r="233" spans="1:28">
      <c r="A233" t="s">
        <v>40</v>
      </c>
      <c r="B233" s="2">
        <v>44743</v>
      </c>
      <c r="C233" s="2">
        <v>44713</v>
      </c>
      <c r="D233" s="2">
        <v>44819</v>
      </c>
      <c r="E233">
        <v>77265567</v>
      </c>
      <c r="F233">
        <v>77504160</v>
      </c>
      <c r="G233">
        <v>238593</v>
      </c>
      <c r="H233">
        <v>82.04</v>
      </c>
      <c r="I233">
        <v>900000</v>
      </c>
      <c r="J233" t="s">
        <v>29</v>
      </c>
      <c r="K233">
        <v>52.7</v>
      </c>
      <c r="L233">
        <v>53.6</v>
      </c>
      <c r="M233">
        <v>15281659</v>
      </c>
      <c r="N233">
        <v>15341652</v>
      </c>
      <c r="O233">
        <v>0</v>
      </c>
      <c r="P233">
        <v>0</v>
      </c>
      <c r="Q233">
        <v>19544985</v>
      </c>
      <c r="R233">
        <v>19404464</v>
      </c>
      <c r="S233">
        <v>5818909</v>
      </c>
      <c r="T233">
        <v>5737343</v>
      </c>
      <c r="U233">
        <v>0</v>
      </c>
      <c r="V233">
        <v>0</v>
      </c>
      <c r="W233">
        <v>0</v>
      </c>
      <c r="X233">
        <v>0</v>
      </c>
      <c r="Y233">
        <v>36620014</v>
      </c>
      <c r="Z233">
        <v>37020701</v>
      </c>
      <c r="AA233">
        <f t="shared" si="7"/>
        <v>-140521</v>
      </c>
      <c r="AB233">
        <f t="shared" si="6"/>
        <v>-0.71896192296898664</v>
      </c>
    </row>
    <row r="234" spans="1:28">
      <c r="A234" t="s">
        <v>41</v>
      </c>
      <c r="B234" s="2">
        <v>44743</v>
      </c>
      <c r="C234" s="2">
        <v>44713</v>
      </c>
      <c r="D234" s="2">
        <v>44819</v>
      </c>
      <c r="E234">
        <v>92335529</v>
      </c>
      <c r="F234">
        <v>92377625</v>
      </c>
      <c r="G234">
        <v>42096</v>
      </c>
      <c r="H234">
        <v>85.7</v>
      </c>
      <c r="I234">
        <v>850000</v>
      </c>
      <c r="J234" t="s">
        <v>29</v>
      </c>
      <c r="K234">
        <v>58.87</v>
      </c>
      <c r="L234">
        <v>59.72</v>
      </c>
      <c r="M234">
        <v>20429513</v>
      </c>
      <c r="N234">
        <v>20441867</v>
      </c>
      <c r="O234">
        <v>0</v>
      </c>
      <c r="P234">
        <v>0</v>
      </c>
      <c r="Q234">
        <v>27756584</v>
      </c>
      <c r="R234">
        <v>27466723</v>
      </c>
      <c r="S234">
        <v>6618575</v>
      </c>
      <c r="T234">
        <v>6469963</v>
      </c>
      <c r="U234">
        <v>0</v>
      </c>
      <c r="V234">
        <v>0</v>
      </c>
      <c r="W234">
        <v>0</v>
      </c>
      <c r="X234">
        <v>0</v>
      </c>
      <c r="Y234">
        <v>37530857</v>
      </c>
      <c r="Z234">
        <v>37999072</v>
      </c>
      <c r="AA234">
        <f t="shared" si="7"/>
        <v>-289861</v>
      </c>
      <c r="AB234">
        <f t="shared" si="6"/>
        <v>-1.0442963730695392</v>
      </c>
    </row>
    <row r="235" spans="1:28">
      <c r="A235" t="s">
        <v>42</v>
      </c>
      <c r="B235" s="2">
        <v>44743</v>
      </c>
      <c r="C235" s="2">
        <v>44713</v>
      </c>
      <c r="D235" s="2">
        <v>44819</v>
      </c>
      <c r="E235">
        <v>34172212</v>
      </c>
      <c r="F235">
        <v>33937740</v>
      </c>
      <c r="G235">
        <v>-234472</v>
      </c>
      <c r="H235">
        <v>69.400000000000006</v>
      </c>
      <c r="I235">
        <v>190000</v>
      </c>
      <c r="J235" t="s">
        <v>29</v>
      </c>
      <c r="K235">
        <v>27.87</v>
      </c>
      <c r="L235">
        <v>28.06</v>
      </c>
      <c r="M235">
        <v>9525925</v>
      </c>
      <c r="N235">
        <v>9372923</v>
      </c>
      <c r="O235">
        <v>1214</v>
      </c>
      <c r="P235">
        <v>1203</v>
      </c>
      <c r="Q235">
        <v>11702577</v>
      </c>
      <c r="R235">
        <v>11597665</v>
      </c>
      <c r="S235">
        <v>0</v>
      </c>
      <c r="T235">
        <v>0</v>
      </c>
      <c r="U235">
        <v>0</v>
      </c>
      <c r="V235">
        <v>0</v>
      </c>
      <c r="W235">
        <v>1088510</v>
      </c>
      <c r="X235">
        <v>1085252</v>
      </c>
      <c r="Y235">
        <v>11853986</v>
      </c>
      <c r="Z235">
        <v>11880697</v>
      </c>
      <c r="AA235">
        <f t="shared" si="7"/>
        <v>-104912</v>
      </c>
      <c r="AB235">
        <f t="shared" si="6"/>
        <v>-0.89648630382863537</v>
      </c>
    </row>
    <row r="236" spans="1:28">
      <c r="A236" t="s">
        <v>43</v>
      </c>
      <c r="B236" s="2">
        <v>44743</v>
      </c>
      <c r="C236" s="2">
        <v>44713</v>
      </c>
      <c r="D236" s="2">
        <v>44819</v>
      </c>
      <c r="E236">
        <v>11970040</v>
      </c>
      <c r="F236">
        <v>12035696</v>
      </c>
      <c r="G236">
        <v>65656</v>
      </c>
      <c r="H236">
        <v>92.16</v>
      </c>
      <c r="I236">
        <v>20000</v>
      </c>
      <c r="J236" t="s">
        <v>29</v>
      </c>
      <c r="K236">
        <v>1.77</v>
      </c>
      <c r="L236">
        <v>1.79</v>
      </c>
      <c r="M236">
        <v>5733657</v>
      </c>
      <c r="N236">
        <v>5744822</v>
      </c>
      <c r="O236">
        <v>0</v>
      </c>
      <c r="P236">
        <v>0</v>
      </c>
      <c r="Q236">
        <v>1076669</v>
      </c>
      <c r="R236">
        <v>1062224</v>
      </c>
      <c r="S236">
        <v>1410265</v>
      </c>
      <c r="T236">
        <v>1404098</v>
      </c>
      <c r="U236">
        <v>0</v>
      </c>
      <c r="V236">
        <v>0</v>
      </c>
      <c r="W236">
        <v>0</v>
      </c>
      <c r="X236">
        <v>0</v>
      </c>
      <c r="Y236">
        <v>3749449</v>
      </c>
      <c r="Z236">
        <v>3824552</v>
      </c>
      <c r="AA236">
        <f t="shared" si="7"/>
        <v>-14445</v>
      </c>
      <c r="AB236">
        <f t="shared" si="6"/>
        <v>-1.3416379592985404</v>
      </c>
    </row>
    <row r="237" spans="1:28">
      <c r="A237" t="s">
        <v>44</v>
      </c>
      <c r="B237" s="2">
        <v>44743</v>
      </c>
      <c r="C237" s="2">
        <v>44713</v>
      </c>
      <c r="D237" s="2">
        <v>44819</v>
      </c>
      <c r="E237">
        <v>32810038</v>
      </c>
      <c r="F237">
        <v>32919153</v>
      </c>
      <c r="G237">
        <v>109115</v>
      </c>
      <c r="H237">
        <v>95.26</v>
      </c>
      <c r="I237">
        <v>120000</v>
      </c>
      <c r="J237" t="s">
        <v>29</v>
      </c>
      <c r="K237">
        <v>13.61</v>
      </c>
      <c r="L237">
        <v>13.73</v>
      </c>
      <c r="M237">
        <v>11181653</v>
      </c>
      <c r="N237">
        <v>11214048</v>
      </c>
      <c r="O237">
        <v>36</v>
      </c>
      <c r="P237">
        <v>34</v>
      </c>
      <c r="Q237">
        <v>1727691</v>
      </c>
      <c r="R237">
        <v>1705100</v>
      </c>
      <c r="S237">
        <v>6296889</v>
      </c>
      <c r="T237">
        <v>6303809</v>
      </c>
      <c r="U237">
        <v>0</v>
      </c>
      <c r="V237">
        <v>0</v>
      </c>
      <c r="W237">
        <v>0</v>
      </c>
      <c r="X237">
        <v>0</v>
      </c>
      <c r="Y237">
        <v>13603769</v>
      </c>
      <c r="Z237">
        <v>13696162</v>
      </c>
      <c r="AA237">
        <f t="shared" si="7"/>
        <v>-22591</v>
      </c>
      <c r="AB237">
        <f t="shared" si="6"/>
        <v>-1.3075833583667449</v>
      </c>
    </row>
    <row r="238" spans="1:28">
      <c r="A238" t="s">
        <v>45</v>
      </c>
      <c r="B238" s="2">
        <v>44743</v>
      </c>
      <c r="C238" s="2">
        <v>44713</v>
      </c>
      <c r="D238" s="2">
        <v>44819</v>
      </c>
      <c r="E238">
        <v>36351283</v>
      </c>
      <c r="F238">
        <v>36375554</v>
      </c>
      <c r="G238">
        <v>24271</v>
      </c>
      <c r="H238">
        <v>82.78</v>
      </c>
      <c r="I238">
        <v>280000</v>
      </c>
      <c r="J238" t="s">
        <v>29</v>
      </c>
      <c r="K238">
        <v>25.95</v>
      </c>
      <c r="L238">
        <v>26.23</v>
      </c>
      <c r="M238">
        <v>12000312</v>
      </c>
      <c r="N238">
        <v>11993803</v>
      </c>
      <c r="O238">
        <v>115</v>
      </c>
      <c r="P238">
        <v>114</v>
      </c>
      <c r="Q238">
        <v>8345197</v>
      </c>
      <c r="R238">
        <v>8302554</v>
      </c>
      <c r="S238">
        <v>5184123</v>
      </c>
      <c r="T238">
        <v>5153397</v>
      </c>
      <c r="U238">
        <v>0</v>
      </c>
      <c r="V238">
        <v>0</v>
      </c>
      <c r="W238">
        <v>0</v>
      </c>
      <c r="X238">
        <v>0</v>
      </c>
      <c r="Y238">
        <v>10821536</v>
      </c>
      <c r="Z238">
        <v>10925686</v>
      </c>
      <c r="AA238">
        <f t="shared" si="7"/>
        <v>-42643</v>
      </c>
      <c r="AB238">
        <f t="shared" si="6"/>
        <v>-0.51098853628021002</v>
      </c>
    </row>
    <row r="239" spans="1:28">
      <c r="A239" t="s">
        <v>46</v>
      </c>
      <c r="B239" s="2">
        <v>44743</v>
      </c>
      <c r="C239" s="2">
        <v>44713</v>
      </c>
      <c r="D239" s="2">
        <v>44819</v>
      </c>
      <c r="E239">
        <v>63131721</v>
      </c>
      <c r="F239">
        <v>63297748</v>
      </c>
      <c r="G239">
        <v>166027</v>
      </c>
      <c r="H239">
        <v>89.77</v>
      </c>
      <c r="I239">
        <v>710000</v>
      </c>
      <c r="J239" t="s">
        <v>29</v>
      </c>
      <c r="K239">
        <v>51.05</v>
      </c>
      <c r="L239">
        <v>51.76</v>
      </c>
      <c r="M239">
        <v>22005978</v>
      </c>
      <c r="N239">
        <v>22039493</v>
      </c>
      <c r="O239">
        <v>169</v>
      </c>
      <c r="P239">
        <v>161</v>
      </c>
      <c r="Q239">
        <v>10891351</v>
      </c>
      <c r="R239">
        <v>10835672</v>
      </c>
      <c r="S239">
        <v>6441357</v>
      </c>
      <c r="T239">
        <v>6426475</v>
      </c>
      <c r="U239">
        <v>0</v>
      </c>
      <c r="V239">
        <v>0</v>
      </c>
      <c r="W239">
        <v>0</v>
      </c>
      <c r="X239">
        <v>0</v>
      </c>
      <c r="Y239">
        <v>23792866</v>
      </c>
      <c r="Z239">
        <v>23995947</v>
      </c>
      <c r="AA239">
        <f t="shared" si="7"/>
        <v>-55679</v>
      </c>
      <c r="AB239">
        <f t="shared" si="6"/>
        <v>-0.51122216151145994</v>
      </c>
    </row>
    <row r="240" spans="1:28">
      <c r="A240" t="s">
        <v>47</v>
      </c>
      <c r="B240" s="2">
        <v>44743</v>
      </c>
      <c r="C240" s="2">
        <v>44713</v>
      </c>
      <c r="D240" s="2">
        <v>44819</v>
      </c>
      <c r="E240">
        <v>78964207</v>
      </c>
      <c r="F240">
        <v>78294030</v>
      </c>
      <c r="G240">
        <v>-670177</v>
      </c>
      <c r="H240">
        <v>92.65</v>
      </c>
      <c r="I240">
        <v>430000</v>
      </c>
      <c r="J240" t="s">
        <v>29</v>
      </c>
      <c r="K240">
        <v>50.79</v>
      </c>
      <c r="L240">
        <v>51.22</v>
      </c>
      <c r="M240">
        <v>27100431</v>
      </c>
      <c r="N240">
        <v>27138932</v>
      </c>
      <c r="O240">
        <v>291</v>
      </c>
      <c r="P240">
        <v>277</v>
      </c>
      <c r="Q240">
        <v>17654593</v>
      </c>
      <c r="R240">
        <v>17638986</v>
      </c>
      <c r="S240">
        <v>9851076</v>
      </c>
      <c r="T240">
        <v>9610858</v>
      </c>
      <c r="U240">
        <v>68601</v>
      </c>
      <c r="V240">
        <v>69583</v>
      </c>
      <c r="W240">
        <v>0</v>
      </c>
      <c r="X240">
        <v>0</v>
      </c>
      <c r="Y240">
        <v>24289215</v>
      </c>
      <c r="Z240">
        <v>23835394</v>
      </c>
      <c r="AA240">
        <f t="shared" si="7"/>
        <v>-15607</v>
      </c>
      <c r="AB240">
        <f t="shared" si="6"/>
        <v>-8.840192464363239E-2</v>
      </c>
    </row>
    <row r="241" spans="1:28">
      <c r="A241" t="s">
        <v>48</v>
      </c>
      <c r="B241" s="2">
        <v>44743</v>
      </c>
      <c r="C241" s="2">
        <v>44713</v>
      </c>
      <c r="D241" s="2">
        <v>44819</v>
      </c>
      <c r="E241">
        <v>101719819</v>
      </c>
      <c r="F241">
        <v>101583643</v>
      </c>
      <c r="G241">
        <v>-136176</v>
      </c>
      <c r="H241">
        <v>85.67</v>
      </c>
      <c r="I241">
        <v>1370000</v>
      </c>
      <c r="J241" t="s">
        <v>29</v>
      </c>
      <c r="K241">
        <v>56.32</v>
      </c>
      <c r="L241">
        <v>57.69</v>
      </c>
      <c r="M241">
        <v>37292054</v>
      </c>
      <c r="N241">
        <v>36775541</v>
      </c>
      <c r="O241">
        <v>0</v>
      </c>
      <c r="P241">
        <v>0</v>
      </c>
      <c r="Q241">
        <v>20159319</v>
      </c>
      <c r="R241">
        <v>20069503</v>
      </c>
      <c r="S241">
        <v>10800275</v>
      </c>
      <c r="T241">
        <v>10717989</v>
      </c>
      <c r="U241">
        <v>0</v>
      </c>
      <c r="V241">
        <v>0</v>
      </c>
      <c r="W241">
        <v>0</v>
      </c>
      <c r="X241">
        <v>0</v>
      </c>
      <c r="Y241">
        <v>33468171</v>
      </c>
      <c r="Z241">
        <v>34020610</v>
      </c>
      <c r="AA241">
        <f t="shared" si="7"/>
        <v>-89816</v>
      </c>
      <c r="AB241">
        <f t="shared" si="6"/>
        <v>-0.44553092294437124</v>
      </c>
    </row>
    <row r="242" spans="1:28">
      <c r="A242" t="s">
        <v>49</v>
      </c>
      <c r="B242" s="2">
        <v>44743</v>
      </c>
      <c r="C242" s="2">
        <v>44713</v>
      </c>
      <c r="D242" s="2">
        <v>44819</v>
      </c>
      <c r="E242">
        <v>64477657</v>
      </c>
      <c r="F242">
        <v>64643420</v>
      </c>
      <c r="G242">
        <v>165763</v>
      </c>
      <c r="H242">
        <v>85.42</v>
      </c>
      <c r="I242">
        <v>1010000</v>
      </c>
      <c r="J242" t="s">
        <v>29</v>
      </c>
      <c r="K242">
        <v>44.22</v>
      </c>
      <c r="L242">
        <v>45.23</v>
      </c>
      <c r="M242">
        <v>18661342</v>
      </c>
      <c r="N242">
        <v>18775362</v>
      </c>
      <c r="O242">
        <v>9</v>
      </c>
      <c r="P242">
        <v>8</v>
      </c>
      <c r="Q242">
        <v>18406223</v>
      </c>
      <c r="R242">
        <v>18303435</v>
      </c>
      <c r="S242">
        <v>5790363</v>
      </c>
      <c r="T242">
        <v>5763968</v>
      </c>
      <c r="U242">
        <v>0</v>
      </c>
      <c r="V242">
        <v>0</v>
      </c>
      <c r="W242">
        <v>0</v>
      </c>
      <c r="X242">
        <v>0</v>
      </c>
      <c r="Y242">
        <v>21619720</v>
      </c>
      <c r="Z242">
        <v>21800647</v>
      </c>
      <c r="AA242">
        <f t="shared" si="7"/>
        <v>-102788</v>
      </c>
      <c r="AB242">
        <f t="shared" si="6"/>
        <v>-0.55844156620290863</v>
      </c>
    </row>
    <row r="243" spans="1:28">
      <c r="A243" t="s">
        <v>50</v>
      </c>
      <c r="B243" s="2">
        <v>44743</v>
      </c>
      <c r="C243" s="2">
        <v>44713</v>
      </c>
      <c r="D243" s="2">
        <v>44819</v>
      </c>
      <c r="E243">
        <v>56983188</v>
      </c>
      <c r="F243">
        <v>57242165</v>
      </c>
      <c r="G243">
        <v>258977</v>
      </c>
      <c r="H243">
        <v>87.05</v>
      </c>
      <c r="I243">
        <v>590000</v>
      </c>
      <c r="J243" t="s">
        <v>29</v>
      </c>
      <c r="K243">
        <v>38.020000000000003</v>
      </c>
      <c r="L243">
        <v>38.61</v>
      </c>
      <c r="M243">
        <v>16235000</v>
      </c>
      <c r="N243">
        <v>16339802</v>
      </c>
      <c r="O243">
        <v>172</v>
      </c>
      <c r="P243">
        <v>160</v>
      </c>
      <c r="Q243">
        <v>15665406</v>
      </c>
      <c r="R243">
        <v>15561404</v>
      </c>
      <c r="S243">
        <v>2361967</v>
      </c>
      <c r="T243">
        <v>2368727</v>
      </c>
      <c r="U243">
        <v>0</v>
      </c>
      <c r="V243">
        <v>0</v>
      </c>
      <c r="W243">
        <v>0</v>
      </c>
      <c r="X243">
        <v>0</v>
      </c>
      <c r="Y243">
        <v>22720643</v>
      </c>
      <c r="Z243">
        <v>22972072</v>
      </c>
      <c r="AA243">
        <f t="shared" si="7"/>
        <v>-104002</v>
      </c>
      <c r="AB243">
        <f t="shared" si="6"/>
        <v>-0.66389597562935809</v>
      </c>
    </row>
    <row r="244" spans="1:28">
      <c r="A244" t="s">
        <v>28</v>
      </c>
      <c r="B244" s="2">
        <v>44774</v>
      </c>
      <c r="C244" s="2">
        <v>44743</v>
      </c>
      <c r="D244" s="2">
        <v>44852</v>
      </c>
      <c r="E244">
        <v>83156962</v>
      </c>
      <c r="F244">
        <v>83313396</v>
      </c>
      <c r="G244">
        <v>156434</v>
      </c>
      <c r="H244">
        <v>90.09</v>
      </c>
      <c r="I244">
        <v>550000</v>
      </c>
      <c r="J244" t="s">
        <v>29</v>
      </c>
      <c r="K244">
        <v>53.35</v>
      </c>
      <c r="L244">
        <v>53.9</v>
      </c>
      <c r="M244">
        <v>31662370</v>
      </c>
      <c r="N244">
        <v>31693515</v>
      </c>
      <c r="O244">
        <v>0</v>
      </c>
      <c r="P244">
        <v>0</v>
      </c>
      <c r="Q244">
        <v>13003669</v>
      </c>
      <c r="R244">
        <v>12957328</v>
      </c>
      <c r="S244">
        <v>8975581</v>
      </c>
      <c r="T244">
        <v>8976822</v>
      </c>
      <c r="U244">
        <v>0</v>
      </c>
      <c r="V244">
        <v>0</v>
      </c>
      <c r="W244">
        <v>0</v>
      </c>
      <c r="X244">
        <v>0</v>
      </c>
      <c r="Y244">
        <v>29515342</v>
      </c>
      <c r="Z244">
        <v>29685731</v>
      </c>
      <c r="AA244">
        <f t="shared" si="7"/>
        <v>-46341</v>
      </c>
      <c r="AB244">
        <f t="shared" si="6"/>
        <v>-0.35636865257028616</v>
      </c>
    </row>
    <row r="245" spans="1:28">
      <c r="A245" t="s">
        <v>30</v>
      </c>
      <c r="B245" s="2">
        <v>44774</v>
      </c>
      <c r="C245" s="2">
        <v>44743</v>
      </c>
      <c r="D245" s="2">
        <v>44852</v>
      </c>
      <c r="E245">
        <v>24310470</v>
      </c>
      <c r="F245">
        <v>24373872</v>
      </c>
      <c r="G245">
        <v>63402</v>
      </c>
      <c r="H245">
        <v>90.15</v>
      </c>
      <c r="I245">
        <v>80000</v>
      </c>
      <c r="J245" t="s">
        <v>29</v>
      </c>
      <c r="K245">
        <v>5.21</v>
      </c>
      <c r="L245">
        <v>5.29</v>
      </c>
      <c r="M245">
        <v>10267397</v>
      </c>
      <c r="N245">
        <v>10350589</v>
      </c>
      <c r="O245">
        <v>0</v>
      </c>
      <c r="P245">
        <v>0</v>
      </c>
      <c r="Q245">
        <v>2364854</v>
      </c>
      <c r="R245">
        <v>2316904</v>
      </c>
      <c r="S245">
        <v>3267601</v>
      </c>
      <c r="T245">
        <v>3289812</v>
      </c>
      <c r="U245">
        <v>0</v>
      </c>
      <c r="V245">
        <v>0</v>
      </c>
      <c r="W245">
        <v>0</v>
      </c>
      <c r="X245">
        <v>0</v>
      </c>
      <c r="Y245">
        <v>8410618</v>
      </c>
      <c r="Z245">
        <v>8416567</v>
      </c>
      <c r="AA245">
        <f t="shared" si="7"/>
        <v>-47950</v>
      </c>
      <c r="AB245">
        <f t="shared" si="6"/>
        <v>-2.027609315416512</v>
      </c>
    </row>
    <row r="246" spans="1:28">
      <c r="A246" t="s">
        <v>31</v>
      </c>
      <c r="B246" s="2">
        <v>44774</v>
      </c>
      <c r="C246" s="2">
        <v>44743</v>
      </c>
      <c r="D246" s="2">
        <v>44852</v>
      </c>
      <c r="E246">
        <v>89684514</v>
      </c>
      <c r="F246">
        <v>90464732</v>
      </c>
      <c r="G246">
        <v>780218</v>
      </c>
      <c r="H246">
        <v>76.64</v>
      </c>
      <c r="I246">
        <v>700000</v>
      </c>
      <c r="J246" t="s">
        <v>29</v>
      </c>
      <c r="K246">
        <v>37.01</v>
      </c>
      <c r="L246">
        <v>37.71</v>
      </c>
      <c r="M246">
        <v>38816333</v>
      </c>
      <c r="N246">
        <v>39154621</v>
      </c>
      <c r="O246">
        <v>0</v>
      </c>
      <c r="P246">
        <v>0</v>
      </c>
      <c r="Q246">
        <v>10128738</v>
      </c>
      <c r="R246">
        <v>10115082</v>
      </c>
      <c r="S246">
        <v>5627609</v>
      </c>
      <c r="T246">
        <v>5646915</v>
      </c>
      <c r="U246">
        <v>0</v>
      </c>
      <c r="V246">
        <v>0</v>
      </c>
      <c r="W246">
        <v>0</v>
      </c>
      <c r="X246">
        <v>0</v>
      </c>
      <c r="Y246">
        <v>35111834</v>
      </c>
      <c r="Z246">
        <v>35548114</v>
      </c>
      <c r="AA246">
        <f t="shared" si="7"/>
        <v>-13656</v>
      </c>
      <c r="AB246">
        <f t="shared" si="6"/>
        <v>-0.13482429894030235</v>
      </c>
    </row>
    <row r="247" spans="1:28">
      <c r="A247" t="s">
        <v>32</v>
      </c>
      <c r="B247" s="2">
        <v>44774</v>
      </c>
      <c r="C247" s="2">
        <v>44743</v>
      </c>
      <c r="D247" s="2">
        <v>44852</v>
      </c>
      <c r="E247">
        <v>52617280</v>
      </c>
      <c r="F247">
        <v>52812277</v>
      </c>
      <c r="G247">
        <v>194997</v>
      </c>
      <c r="H247">
        <v>66.75</v>
      </c>
      <c r="I247">
        <v>500000</v>
      </c>
      <c r="J247" t="s">
        <v>29</v>
      </c>
      <c r="K247">
        <v>34.85</v>
      </c>
      <c r="L247">
        <v>35.35</v>
      </c>
      <c r="M247">
        <v>16304284</v>
      </c>
      <c r="N247">
        <v>16358878</v>
      </c>
      <c r="O247">
        <v>200</v>
      </c>
      <c r="P247">
        <v>198</v>
      </c>
      <c r="Q247">
        <v>16444876</v>
      </c>
      <c r="R247">
        <v>16530586</v>
      </c>
      <c r="S247">
        <v>0</v>
      </c>
      <c r="T247">
        <v>0</v>
      </c>
      <c r="U247">
        <v>0</v>
      </c>
      <c r="V247">
        <v>0</v>
      </c>
      <c r="W247">
        <v>1692461</v>
      </c>
      <c r="X247">
        <v>1691991</v>
      </c>
      <c r="Y247">
        <v>18175459</v>
      </c>
      <c r="Z247">
        <v>18230624</v>
      </c>
      <c r="AA247">
        <f t="shared" si="7"/>
        <v>85710</v>
      </c>
      <c r="AB247">
        <f t="shared" si="6"/>
        <v>0.52119578159178581</v>
      </c>
    </row>
    <row r="248" spans="1:28">
      <c r="A248" t="s">
        <v>33</v>
      </c>
      <c r="B248" s="2">
        <v>44774</v>
      </c>
      <c r="C248" s="2">
        <v>44743</v>
      </c>
      <c r="D248" s="2">
        <v>44852</v>
      </c>
      <c r="E248">
        <v>67262005</v>
      </c>
      <c r="F248">
        <v>67152802</v>
      </c>
      <c r="G248">
        <v>-109203</v>
      </c>
      <c r="H248">
        <v>89.47</v>
      </c>
      <c r="I248">
        <v>860000</v>
      </c>
      <c r="J248" t="s">
        <v>29</v>
      </c>
      <c r="K248">
        <v>49.03</v>
      </c>
      <c r="L248">
        <v>49.89</v>
      </c>
      <c r="M248">
        <v>11503148</v>
      </c>
      <c r="N248">
        <v>11371451</v>
      </c>
      <c r="O248">
        <v>61</v>
      </c>
      <c r="P248">
        <v>57</v>
      </c>
      <c r="Q248">
        <v>23746631</v>
      </c>
      <c r="R248">
        <v>23683216</v>
      </c>
      <c r="S248">
        <v>5429139</v>
      </c>
      <c r="T248">
        <v>5364415</v>
      </c>
      <c r="U248">
        <v>0</v>
      </c>
      <c r="V248">
        <v>0</v>
      </c>
      <c r="W248">
        <v>0</v>
      </c>
      <c r="X248">
        <v>0</v>
      </c>
      <c r="Y248">
        <v>26583026</v>
      </c>
      <c r="Z248">
        <v>26733663</v>
      </c>
      <c r="AA248">
        <f t="shared" si="7"/>
        <v>-63415</v>
      </c>
      <c r="AB248">
        <f t="shared" si="6"/>
        <v>-0.2670484078351999</v>
      </c>
    </row>
    <row r="249" spans="1:28">
      <c r="A249" t="s">
        <v>34</v>
      </c>
      <c r="B249" s="2">
        <v>44774</v>
      </c>
      <c r="C249" s="2">
        <v>44743</v>
      </c>
      <c r="D249" s="2">
        <v>44852</v>
      </c>
      <c r="E249">
        <v>26818858</v>
      </c>
      <c r="F249">
        <v>26690392</v>
      </c>
      <c r="G249">
        <v>-128466</v>
      </c>
      <c r="H249">
        <v>84.83</v>
      </c>
      <c r="I249">
        <v>300000</v>
      </c>
      <c r="J249" t="s">
        <v>29</v>
      </c>
      <c r="K249">
        <v>23.88</v>
      </c>
      <c r="L249">
        <v>24.18</v>
      </c>
      <c r="M249">
        <v>6240683</v>
      </c>
      <c r="N249">
        <v>6281489</v>
      </c>
      <c r="O249">
        <v>13</v>
      </c>
      <c r="P249">
        <v>13</v>
      </c>
      <c r="Q249">
        <v>7800804</v>
      </c>
      <c r="R249">
        <v>7771735</v>
      </c>
      <c r="S249">
        <v>4674849</v>
      </c>
      <c r="T249">
        <v>4633316</v>
      </c>
      <c r="U249">
        <v>0</v>
      </c>
      <c r="V249">
        <v>0</v>
      </c>
      <c r="W249">
        <v>0</v>
      </c>
      <c r="X249">
        <v>0</v>
      </c>
      <c r="Y249">
        <v>8102509</v>
      </c>
      <c r="Z249">
        <v>8003839</v>
      </c>
      <c r="AA249">
        <f t="shared" si="7"/>
        <v>-29069</v>
      </c>
      <c r="AB249">
        <f t="shared" si="6"/>
        <v>-0.37264107648391115</v>
      </c>
    </row>
    <row r="250" spans="1:28">
      <c r="A250" t="s">
        <v>35</v>
      </c>
      <c r="B250" s="2">
        <v>44774</v>
      </c>
      <c r="C250" s="2">
        <v>44743</v>
      </c>
      <c r="D250" s="2">
        <v>44852</v>
      </c>
      <c r="E250">
        <v>9805156</v>
      </c>
      <c r="F250">
        <v>9790746</v>
      </c>
      <c r="G250">
        <v>-14410</v>
      </c>
      <c r="H250">
        <v>105.18</v>
      </c>
      <c r="I250">
        <v>40000</v>
      </c>
      <c r="J250" t="s">
        <v>29</v>
      </c>
      <c r="K250">
        <v>3.26</v>
      </c>
      <c r="L250">
        <v>3.3</v>
      </c>
      <c r="M250">
        <v>3320505</v>
      </c>
      <c r="N250">
        <v>3351375</v>
      </c>
      <c r="O250">
        <v>92</v>
      </c>
      <c r="P250">
        <v>92</v>
      </c>
      <c r="Q250">
        <v>535351</v>
      </c>
      <c r="R250">
        <v>528275</v>
      </c>
      <c r="S250">
        <v>2699499</v>
      </c>
      <c r="T250">
        <v>2658073</v>
      </c>
      <c r="U250">
        <v>0</v>
      </c>
      <c r="V250">
        <v>0</v>
      </c>
      <c r="W250">
        <v>0</v>
      </c>
      <c r="X250">
        <v>0</v>
      </c>
      <c r="Y250">
        <v>3249709</v>
      </c>
      <c r="Z250">
        <v>3252931</v>
      </c>
      <c r="AA250">
        <f t="shared" si="7"/>
        <v>-7076</v>
      </c>
      <c r="AB250">
        <f t="shared" si="6"/>
        <v>-1.3217496558332757</v>
      </c>
    </row>
    <row r="251" spans="1:28">
      <c r="A251" t="s">
        <v>36</v>
      </c>
      <c r="B251" s="2">
        <v>44774</v>
      </c>
      <c r="C251" s="2">
        <v>44743</v>
      </c>
      <c r="D251" s="2">
        <v>44852</v>
      </c>
      <c r="E251">
        <v>11913734</v>
      </c>
      <c r="F251">
        <v>12010470</v>
      </c>
      <c r="G251">
        <v>96736</v>
      </c>
      <c r="H251">
        <v>76.56</v>
      </c>
      <c r="I251">
        <v>20000</v>
      </c>
      <c r="J251" t="s">
        <v>29</v>
      </c>
      <c r="K251">
        <v>1.66</v>
      </c>
      <c r="L251">
        <v>1.68</v>
      </c>
      <c r="M251">
        <v>5835259</v>
      </c>
      <c r="N251">
        <v>5848363</v>
      </c>
      <c r="O251">
        <v>0</v>
      </c>
      <c r="P251">
        <v>0</v>
      </c>
      <c r="Q251">
        <v>427464</v>
      </c>
      <c r="R251">
        <v>428138</v>
      </c>
      <c r="S251">
        <v>830837</v>
      </c>
      <c r="T251">
        <v>834456</v>
      </c>
      <c r="U251">
        <v>0</v>
      </c>
      <c r="V251">
        <v>0</v>
      </c>
      <c r="W251">
        <v>0</v>
      </c>
      <c r="X251">
        <v>0</v>
      </c>
      <c r="Y251">
        <v>4820174</v>
      </c>
      <c r="Z251">
        <v>4899513</v>
      </c>
      <c r="AA251">
        <f t="shared" si="7"/>
        <v>674</v>
      </c>
      <c r="AB251">
        <f t="shared" si="6"/>
        <v>0.15767409653210562</v>
      </c>
    </row>
    <row r="252" spans="1:28">
      <c r="A252" t="s">
        <v>37</v>
      </c>
      <c r="B252" s="2">
        <v>44774</v>
      </c>
      <c r="C252" s="2">
        <v>44743</v>
      </c>
      <c r="D252" s="2">
        <v>44852</v>
      </c>
      <c r="E252">
        <v>65398682</v>
      </c>
      <c r="F252">
        <v>65447820</v>
      </c>
      <c r="G252">
        <v>49138</v>
      </c>
      <c r="H252">
        <v>88.12</v>
      </c>
      <c r="I252">
        <v>600000</v>
      </c>
      <c r="J252" t="s">
        <v>29</v>
      </c>
      <c r="K252">
        <v>55.11</v>
      </c>
      <c r="L252">
        <v>55.71</v>
      </c>
      <c r="M252">
        <v>30818598</v>
      </c>
      <c r="N252">
        <v>30882862</v>
      </c>
      <c r="O252">
        <v>610</v>
      </c>
      <c r="P252">
        <v>601</v>
      </c>
      <c r="Q252">
        <v>7520391</v>
      </c>
      <c r="R252">
        <v>7442360</v>
      </c>
      <c r="S252">
        <v>6706785</v>
      </c>
      <c r="T252">
        <v>6610337</v>
      </c>
      <c r="U252">
        <v>0</v>
      </c>
      <c r="V252">
        <v>0</v>
      </c>
      <c r="W252">
        <v>0</v>
      </c>
      <c r="X252">
        <v>0</v>
      </c>
      <c r="Y252">
        <v>20352298</v>
      </c>
      <c r="Z252">
        <v>20511660</v>
      </c>
      <c r="AA252">
        <f t="shared" si="7"/>
        <v>-78031</v>
      </c>
      <c r="AB252">
        <f t="shared" si="6"/>
        <v>-1.0375923273138326</v>
      </c>
    </row>
    <row r="253" spans="1:28">
      <c r="A253" t="s">
        <v>38</v>
      </c>
      <c r="B253" s="2">
        <v>44774</v>
      </c>
      <c r="C253" s="2">
        <v>44743</v>
      </c>
      <c r="D253" s="2">
        <v>44852</v>
      </c>
      <c r="E253">
        <v>42831947</v>
      </c>
      <c r="F253">
        <v>42758645</v>
      </c>
      <c r="G253">
        <v>-73302</v>
      </c>
      <c r="H253">
        <v>92.49</v>
      </c>
      <c r="I253">
        <v>210000</v>
      </c>
      <c r="J253" t="s">
        <v>29</v>
      </c>
      <c r="K253">
        <v>19.18</v>
      </c>
      <c r="L253">
        <v>19.39</v>
      </c>
      <c r="M253">
        <v>7827365</v>
      </c>
      <c r="N253">
        <v>7808380</v>
      </c>
      <c r="O253">
        <v>152</v>
      </c>
      <c r="P253">
        <v>152</v>
      </c>
      <c r="Q253">
        <v>15120953</v>
      </c>
      <c r="R253">
        <v>15078888</v>
      </c>
      <c r="S253">
        <v>10291573</v>
      </c>
      <c r="T253">
        <v>10184966</v>
      </c>
      <c r="U253">
        <v>0</v>
      </c>
      <c r="V253">
        <v>0</v>
      </c>
      <c r="W253">
        <v>0</v>
      </c>
      <c r="X253">
        <v>0</v>
      </c>
      <c r="Y253">
        <v>9591904</v>
      </c>
      <c r="Z253">
        <v>9686259</v>
      </c>
      <c r="AA253">
        <f t="shared" si="7"/>
        <v>-42065</v>
      </c>
      <c r="AB253">
        <f t="shared" si="6"/>
        <v>-0.27819013788350511</v>
      </c>
    </row>
    <row r="254" spans="1:28">
      <c r="A254" t="s">
        <v>39</v>
      </c>
      <c r="B254" s="2">
        <v>44774</v>
      </c>
      <c r="C254" s="2">
        <v>44743</v>
      </c>
      <c r="D254" s="2">
        <v>44852</v>
      </c>
      <c r="E254">
        <v>24019316</v>
      </c>
      <c r="F254">
        <v>23950285</v>
      </c>
      <c r="G254">
        <v>-69031</v>
      </c>
      <c r="H254">
        <v>87.65</v>
      </c>
      <c r="I254">
        <v>150000</v>
      </c>
      <c r="J254" t="s">
        <v>29</v>
      </c>
      <c r="K254">
        <v>14.6</v>
      </c>
      <c r="L254">
        <v>14.75</v>
      </c>
      <c r="M254">
        <v>5707578</v>
      </c>
      <c r="N254">
        <v>5682836</v>
      </c>
      <c r="O254">
        <v>0</v>
      </c>
      <c r="P254">
        <v>0</v>
      </c>
      <c r="Q254">
        <v>6061242</v>
      </c>
      <c r="R254">
        <v>6024917</v>
      </c>
      <c r="S254">
        <v>2174826</v>
      </c>
      <c r="T254">
        <v>2184737</v>
      </c>
      <c r="U254">
        <v>0</v>
      </c>
      <c r="V254">
        <v>0</v>
      </c>
      <c r="W254">
        <v>0</v>
      </c>
      <c r="X254">
        <v>0</v>
      </c>
      <c r="Y254">
        <v>10075670</v>
      </c>
      <c r="Z254">
        <v>10057795</v>
      </c>
      <c r="AA254">
        <f t="shared" si="7"/>
        <v>-36325</v>
      </c>
      <c r="AB254">
        <f t="shared" si="6"/>
        <v>-0.59929961549134658</v>
      </c>
    </row>
    <row r="255" spans="1:28">
      <c r="A255" t="s">
        <v>40</v>
      </c>
      <c r="B255" s="2">
        <v>44774</v>
      </c>
      <c r="C255" s="2">
        <v>44743</v>
      </c>
      <c r="D255" s="2">
        <v>44852</v>
      </c>
      <c r="E255">
        <v>77504160</v>
      </c>
      <c r="F255">
        <v>77594228</v>
      </c>
      <c r="G255">
        <v>90068</v>
      </c>
      <c r="H255">
        <v>81.03</v>
      </c>
      <c r="I255">
        <v>990000</v>
      </c>
      <c r="J255" t="s">
        <v>29</v>
      </c>
      <c r="K255">
        <v>53.6</v>
      </c>
      <c r="L255">
        <v>54.59</v>
      </c>
      <c r="M255">
        <v>15341652</v>
      </c>
      <c r="N255">
        <v>15344621</v>
      </c>
      <c r="O255">
        <v>0</v>
      </c>
      <c r="P255">
        <v>0</v>
      </c>
      <c r="Q255">
        <v>19404464</v>
      </c>
      <c r="R255">
        <v>19166403</v>
      </c>
      <c r="S255">
        <v>5737343</v>
      </c>
      <c r="T255">
        <v>5676648</v>
      </c>
      <c r="U255">
        <v>0</v>
      </c>
      <c r="V255">
        <v>0</v>
      </c>
      <c r="W255">
        <v>0</v>
      </c>
      <c r="X255">
        <v>0</v>
      </c>
      <c r="Y255">
        <v>37020701</v>
      </c>
      <c r="Z255">
        <v>37406556</v>
      </c>
      <c r="AA255">
        <f t="shared" si="7"/>
        <v>-238061</v>
      </c>
      <c r="AB255">
        <f t="shared" si="6"/>
        <v>-1.2268362578837531</v>
      </c>
    </row>
    <row r="256" spans="1:28">
      <c r="A256" t="s">
        <v>41</v>
      </c>
      <c r="B256" s="2">
        <v>44774</v>
      </c>
      <c r="C256" s="2">
        <v>44743</v>
      </c>
      <c r="D256" s="2">
        <v>44852</v>
      </c>
      <c r="E256">
        <v>92377625</v>
      </c>
      <c r="F256">
        <v>92231152</v>
      </c>
      <c r="G256">
        <v>-146473</v>
      </c>
      <c r="H256">
        <v>85.89</v>
      </c>
      <c r="I256">
        <v>940000</v>
      </c>
      <c r="J256" t="s">
        <v>29</v>
      </c>
      <c r="K256">
        <v>59.72</v>
      </c>
      <c r="L256">
        <v>60.66</v>
      </c>
      <c r="M256">
        <v>20441867</v>
      </c>
      <c r="N256">
        <v>20438915</v>
      </c>
      <c r="O256">
        <v>0</v>
      </c>
      <c r="P256">
        <v>0</v>
      </c>
      <c r="Q256">
        <v>27466723</v>
      </c>
      <c r="R256">
        <v>26908840</v>
      </c>
      <c r="S256">
        <v>6469963</v>
      </c>
      <c r="T256">
        <v>6502724</v>
      </c>
      <c r="U256">
        <v>0</v>
      </c>
      <c r="V256">
        <v>0</v>
      </c>
      <c r="W256">
        <v>0</v>
      </c>
      <c r="X256">
        <v>0</v>
      </c>
      <c r="Y256">
        <v>37999072</v>
      </c>
      <c r="Z256">
        <v>38380673</v>
      </c>
      <c r="AA256">
        <f t="shared" si="7"/>
        <v>-557883</v>
      </c>
      <c r="AB256">
        <f t="shared" si="6"/>
        <v>-2.0311232614098156</v>
      </c>
    </row>
    <row r="257" spans="1:28">
      <c r="A257" t="s">
        <v>42</v>
      </c>
      <c r="B257" s="2">
        <v>44774</v>
      </c>
      <c r="C257" s="2">
        <v>44743</v>
      </c>
      <c r="D257" s="2">
        <v>44852</v>
      </c>
      <c r="E257">
        <v>33937740</v>
      </c>
      <c r="F257">
        <v>33899156</v>
      </c>
      <c r="G257">
        <v>-38584</v>
      </c>
      <c r="H257">
        <v>70.95</v>
      </c>
      <c r="I257">
        <v>230000</v>
      </c>
      <c r="J257" t="s">
        <v>29</v>
      </c>
      <c r="K257">
        <v>28.06</v>
      </c>
      <c r="L257">
        <v>28.29</v>
      </c>
      <c r="M257">
        <v>9372923</v>
      </c>
      <c r="N257">
        <v>9359238</v>
      </c>
      <c r="O257">
        <v>1203</v>
      </c>
      <c r="P257">
        <v>1197</v>
      </c>
      <c r="Q257">
        <v>11597665</v>
      </c>
      <c r="R257">
        <v>11532881</v>
      </c>
      <c r="S257">
        <v>0</v>
      </c>
      <c r="T257">
        <v>0</v>
      </c>
      <c r="U257">
        <v>0</v>
      </c>
      <c r="V257">
        <v>0</v>
      </c>
      <c r="W257">
        <v>1085252</v>
      </c>
      <c r="X257">
        <v>1085252</v>
      </c>
      <c r="Y257">
        <v>11880697</v>
      </c>
      <c r="Z257">
        <v>11920588</v>
      </c>
      <c r="AA257">
        <f t="shared" si="7"/>
        <v>-64784</v>
      </c>
      <c r="AB257">
        <f t="shared" si="6"/>
        <v>-0.55859519998206542</v>
      </c>
    </row>
    <row r="258" spans="1:28">
      <c r="A258" t="s">
        <v>43</v>
      </c>
      <c r="B258" s="2">
        <v>44774</v>
      </c>
      <c r="C258" s="2">
        <v>44743</v>
      </c>
      <c r="D258" s="2">
        <v>44852</v>
      </c>
      <c r="E258">
        <v>12035696</v>
      </c>
      <c r="F258">
        <v>12089234</v>
      </c>
      <c r="G258">
        <v>53538</v>
      </c>
      <c r="H258">
        <v>94.01</v>
      </c>
      <c r="I258">
        <v>20000</v>
      </c>
      <c r="J258" t="s">
        <v>29</v>
      </c>
      <c r="K258">
        <v>1.79</v>
      </c>
      <c r="L258">
        <v>1.81</v>
      </c>
      <c r="M258">
        <v>5744822</v>
      </c>
      <c r="N258">
        <v>5749887</v>
      </c>
      <c r="O258">
        <v>0</v>
      </c>
      <c r="P258">
        <v>0</v>
      </c>
      <c r="Q258">
        <v>1062224</v>
      </c>
      <c r="R258">
        <v>1036909</v>
      </c>
      <c r="S258">
        <v>1404098</v>
      </c>
      <c r="T258">
        <v>1398132</v>
      </c>
      <c r="U258">
        <v>0</v>
      </c>
      <c r="V258">
        <v>0</v>
      </c>
      <c r="W258">
        <v>0</v>
      </c>
      <c r="X258">
        <v>0</v>
      </c>
      <c r="Y258">
        <v>3824552</v>
      </c>
      <c r="Z258">
        <v>3904306</v>
      </c>
      <c r="AA258">
        <f t="shared" si="7"/>
        <v>-25315</v>
      </c>
      <c r="AB258">
        <f t="shared" si="6"/>
        <v>-2.3832073084396512</v>
      </c>
    </row>
    <row r="259" spans="1:28">
      <c r="A259" t="s">
        <v>44</v>
      </c>
      <c r="B259" s="2">
        <v>44774</v>
      </c>
      <c r="C259" s="2">
        <v>44743</v>
      </c>
      <c r="D259" s="2">
        <v>44852</v>
      </c>
      <c r="E259">
        <v>32919153</v>
      </c>
      <c r="F259">
        <v>33011913</v>
      </c>
      <c r="G259">
        <v>92760</v>
      </c>
      <c r="H259">
        <v>93.95</v>
      </c>
      <c r="I259">
        <v>140000</v>
      </c>
      <c r="J259" t="s">
        <v>29</v>
      </c>
      <c r="K259">
        <v>13.73</v>
      </c>
      <c r="L259">
        <v>13.87</v>
      </c>
      <c r="M259">
        <v>11214048</v>
      </c>
      <c r="N259">
        <v>11234951</v>
      </c>
      <c r="O259">
        <v>34</v>
      </c>
      <c r="P259">
        <v>32</v>
      </c>
      <c r="Q259">
        <v>1705100</v>
      </c>
      <c r="R259">
        <v>1680848</v>
      </c>
      <c r="S259">
        <v>6303809</v>
      </c>
      <c r="T259">
        <v>6316772</v>
      </c>
      <c r="U259">
        <v>0</v>
      </c>
      <c r="V259">
        <v>0</v>
      </c>
      <c r="W259">
        <v>0</v>
      </c>
      <c r="X259">
        <v>0</v>
      </c>
      <c r="Y259">
        <v>13696162</v>
      </c>
      <c r="Z259">
        <v>13779310</v>
      </c>
      <c r="AA259">
        <f t="shared" si="7"/>
        <v>-24252</v>
      </c>
      <c r="AB259">
        <f t="shared" ref="AB259:AB322" si="8">(($R259-$Q259)/$Q259)*100</f>
        <v>-1.4223212714796787</v>
      </c>
    </row>
    <row r="260" spans="1:28">
      <c r="A260" t="s">
        <v>45</v>
      </c>
      <c r="B260" s="2">
        <v>44774</v>
      </c>
      <c r="C260" s="2">
        <v>44743</v>
      </c>
      <c r="D260" s="2">
        <v>44852</v>
      </c>
      <c r="E260">
        <v>36375554</v>
      </c>
      <c r="F260">
        <v>36351705</v>
      </c>
      <c r="G260">
        <v>-23849</v>
      </c>
      <c r="H260">
        <v>82.63</v>
      </c>
      <c r="I260">
        <v>320000</v>
      </c>
      <c r="J260" t="s">
        <v>29</v>
      </c>
      <c r="K260">
        <v>26.23</v>
      </c>
      <c r="L260">
        <v>26.55</v>
      </c>
      <c r="M260">
        <v>11993803</v>
      </c>
      <c r="N260">
        <v>12027193</v>
      </c>
      <c r="O260">
        <v>114</v>
      </c>
      <c r="P260">
        <v>113</v>
      </c>
      <c r="Q260">
        <v>8302554</v>
      </c>
      <c r="R260">
        <v>8210720</v>
      </c>
      <c r="S260">
        <v>5153397</v>
      </c>
      <c r="T260">
        <v>5076739</v>
      </c>
      <c r="U260">
        <v>0</v>
      </c>
      <c r="V260">
        <v>0</v>
      </c>
      <c r="W260">
        <v>0</v>
      </c>
      <c r="X260">
        <v>0</v>
      </c>
      <c r="Y260">
        <v>10925686</v>
      </c>
      <c r="Z260">
        <v>11036940</v>
      </c>
      <c r="AA260">
        <f t="shared" ref="AA260:AA323" si="9">$R260-$Q260</f>
        <v>-91834</v>
      </c>
      <c r="AB260">
        <f t="shared" si="8"/>
        <v>-1.1060933780135607</v>
      </c>
    </row>
    <row r="261" spans="1:28">
      <c r="A261" t="s">
        <v>46</v>
      </c>
      <c r="B261" s="2">
        <v>44774</v>
      </c>
      <c r="C261" s="2">
        <v>44743</v>
      </c>
      <c r="D261" s="2">
        <v>44852</v>
      </c>
      <c r="E261">
        <v>63297748</v>
      </c>
      <c r="F261">
        <v>63441497</v>
      </c>
      <c r="G261">
        <v>143749</v>
      </c>
      <c r="H261">
        <v>90.71</v>
      </c>
      <c r="I261">
        <v>790000</v>
      </c>
      <c r="J261" t="s">
        <v>29</v>
      </c>
      <c r="K261">
        <v>51.76</v>
      </c>
      <c r="L261">
        <v>52.55</v>
      </c>
      <c r="M261">
        <v>22039493</v>
      </c>
      <c r="N261">
        <v>22159978</v>
      </c>
      <c r="O261">
        <v>161</v>
      </c>
      <c r="P261">
        <v>161</v>
      </c>
      <c r="Q261">
        <v>10835672</v>
      </c>
      <c r="R261">
        <v>10750310</v>
      </c>
      <c r="S261">
        <v>6426475</v>
      </c>
      <c r="T261">
        <v>6411947</v>
      </c>
      <c r="U261">
        <v>0</v>
      </c>
      <c r="V261">
        <v>0</v>
      </c>
      <c r="W261">
        <v>0</v>
      </c>
      <c r="X261">
        <v>0</v>
      </c>
      <c r="Y261">
        <v>23995947</v>
      </c>
      <c r="Z261">
        <v>24119101</v>
      </c>
      <c r="AA261">
        <f t="shared" si="9"/>
        <v>-85362</v>
      </c>
      <c r="AB261">
        <f t="shared" si="8"/>
        <v>-0.78778685807396154</v>
      </c>
    </row>
    <row r="262" spans="1:28">
      <c r="A262" t="s">
        <v>47</v>
      </c>
      <c r="B262" s="2">
        <v>44774</v>
      </c>
      <c r="C262" s="2">
        <v>44743</v>
      </c>
      <c r="D262" s="2">
        <v>44852</v>
      </c>
      <c r="E262">
        <v>78294030</v>
      </c>
      <c r="F262">
        <v>78135188</v>
      </c>
      <c r="G262">
        <v>-158842</v>
      </c>
      <c r="H262">
        <v>93.76</v>
      </c>
      <c r="I262">
        <v>430000</v>
      </c>
      <c r="J262" t="s">
        <v>29</v>
      </c>
      <c r="K262">
        <v>51.22</v>
      </c>
      <c r="L262">
        <v>51.65</v>
      </c>
      <c r="M262">
        <v>27138932</v>
      </c>
      <c r="N262">
        <v>27082054</v>
      </c>
      <c r="O262">
        <v>277</v>
      </c>
      <c r="P262">
        <v>272</v>
      </c>
      <c r="Q262">
        <v>17638986</v>
      </c>
      <c r="R262">
        <v>17555468</v>
      </c>
      <c r="S262">
        <v>9610858</v>
      </c>
      <c r="T262">
        <v>9542312</v>
      </c>
      <c r="U262">
        <v>69583</v>
      </c>
      <c r="V262">
        <v>73727</v>
      </c>
      <c r="W262">
        <v>0</v>
      </c>
      <c r="X262">
        <v>0</v>
      </c>
      <c r="Y262">
        <v>23835394</v>
      </c>
      <c r="Z262">
        <v>23881355</v>
      </c>
      <c r="AA262">
        <f t="shared" si="9"/>
        <v>-83518</v>
      </c>
      <c r="AB262">
        <f t="shared" si="8"/>
        <v>-0.47348526723701695</v>
      </c>
    </row>
    <row r="263" spans="1:28">
      <c r="A263" t="s">
        <v>48</v>
      </c>
      <c r="B263" s="2">
        <v>44774</v>
      </c>
      <c r="C263" s="2">
        <v>44743</v>
      </c>
      <c r="D263" s="2">
        <v>44852</v>
      </c>
      <c r="E263">
        <v>101583643</v>
      </c>
      <c r="F263">
        <v>101634811</v>
      </c>
      <c r="G263">
        <v>51168</v>
      </c>
      <c r="H263">
        <v>84.03</v>
      </c>
      <c r="I263">
        <v>1580000</v>
      </c>
      <c r="J263" t="s">
        <v>29</v>
      </c>
      <c r="K263">
        <v>57.69</v>
      </c>
      <c r="L263">
        <v>59.27</v>
      </c>
      <c r="M263">
        <v>36775541</v>
      </c>
      <c r="N263">
        <v>36508080</v>
      </c>
      <c r="O263">
        <v>0</v>
      </c>
      <c r="P263">
        <v>0</v>
      </c>
      <c r="Q263">
        <v>20069503</v>
      </c>
      <c r="R263">
        <v>19910512</v>
      </c>
      <c r="S263">
        <v>10717989</v>
      </c>
      <c r="T263">
        <v>10644914</v>
      </c>
      <c r="U263">
        <v>0</v>
      </c>
      <c r="V263">
        <v>0</v>
      </c>
      <c r="W263">
        <v>0</v>
      </c>
      <c r="X263">
        <v>0</v>
      </c>
      <c r="Y263">
        <v>34020610</v>
      </c>
      <c r="Z263">
        <v>34571305</v>
      </c>
      <c r="AA263">
        <f t="shared" si="9"/>
        <v>-158991</v>
      </c>
      <c r="AB263">
        <f t="shared" si="8"/>
        <v>-0.79220197929166458</v>
      </c>
    </row>
    <row r="264" spans="1:28">
      <c r="A264" t="s">
        <v>49</v>
      </c>
      <c r="B264" s="2">
        <v>44774</v>
      </c>
      <c r="C264" s="2">
        <v>44743</v>
      </c>
      <c r="D264" s="2">
        <v>44852</v>
      </c>
      <c r="E264">
        <v>64643420</v>
      </c>
      <c r="F264">
        <v>64585515</v>
      </c>
      <c r="G264">
        <v>-57905</v>
      </c>
      <c r="H264">
        <v>82.65</v>
      </c>
      <c r="I264">
        <v>1210000</v>
      </c>
      <c r="J264" t="s">
        <v>29</v>
      </c>
      <c r="K264">
        <v>45.23</v>
      </c>
      <c r="L264">
        <v>46.44</v>
      </c>
      <c r="M264">
        <v>18775362</v>
      </c>
      <c r="N264">
        <v>18758857</v>
      </c>
      <c r="O264">
        <v>8</v>
      </c>
      <c r="P264">
        <v>8</v>
      </c>
      <c r="Q264">
        <v>18303435</v>
      </c>
      <c r="R264">
        <v>18103713</v>
      </c>
      <c r="S264">
        <v>5763968</v>
      </c>
      <c r="T264">
        <v>5736206</v>
      </c>
      <c r="U264">
        <v>0</v>
      </c>
      <c r="V264">
        <v>0</v>
      </c>
      <c r="W264">
        <v>0</v>
      </c>
      <c r="X264">
        <v>0</v>
      </c>
      <c r="Y264">
        <v>21800647</v>
      </c>
      <c r="Z264">
        <v>21986731</v>
      </c>
      <c r="AA264">
        <f t="shared" si="9"/>
        <v>-199722</v>
      </c>
      <c r="AB264">
        <f t="shared" si="8"/>
        <v>-1.0911722307861886</v>
      </c>
    </row>
    <row r="265" spans="1:28">
      <c r="A265" t="s">
        <v>50</v>
      </c>
      <c r="B265" s="2">
        <v>44774</v>
      </c>
      <c r="C265" s="2">
        <v>44743</v>
      </c>
      <c r="D265" s="2">
        <v>44852</v>
      </c>
      <c r="E265">
        <v>57242165</v>
      </c>
      <c r="F265">
        <v>57371437</v>
      </c>
      <c r="G265">
        <v>129272</v>
      </c>
      <c r="H265">
        <v>85.78</v>
      </c>
      <c r="I265">
        <v>680000</v>
      </c>
      <c r="J265" t="s">
        <v>29</v>
      </c>
      <c r="K265">
        <v>38.61</v>
      </c>
      <c r="L265">
        <v>39.29</v>
      </c>
      <c r="M265">
        <v>16339802</v>
      </c>
      <c r="N265">
        <v>16359837</v>
      </c>
      <c r="O265">
        <v>160</v>
      </c>
      <c r="P265">
        <v>157</v>
      </c>
      <c r="Q265">
        <v>15561404</v>
      </c>
      <c r="R265">
        <v>15410317</v>
      </c>
      <c r="S265">
        <v>2368727</v>
      </c>
      <c r="T265">
        <v>2372905</v>
      </c>
      <c r="U265">
        <v>0</v>
      </c>
      <c r="V265">
        <v>0</v>
      </c>
      <c r="W265">
        <v>0</v>
      </c>
      <c r="X265">
        <v>0</v>
      </c>
      <c r="Y265">
        <v>22972072</v>
      </c>
      <c r="Z265">
        <v>23228221</v>
      </c>
      <c r="AA265">
        <f t="shared" si="9"/>
        <v>-151087</v>
      </c>
      <c r="AB265">
        <f t="shared" si="8"/>
        <v>-0.97090853755869322</v>
      </c>
    </row>
    <row r="266" spans="1:28">
      <c r="A266" t="s">
        <v>28</v>
      </c>
      <c r="B266" s="2">
        <v>44805</v>
      </c>
      <c r="C266" s="2">
        <v>44774</v>
      </c>
      <c r="D266" s="2">
        <v>44887</v>
      </c>
      <c r="E266">
        <v>83313396</v>
      </c>
      <c r="F266">
        <v>82692520</v>
      </c>
      <c r="G266">
        <v>-620876</v>
      </c>
      <c r="H266">
        <v>91.91</v>
      </c>
      <c r="I266">
        <v>590000</v>
      </c>
      <c r="J266" t="s">
        <v>29</v>
      </c>
      <c r="K266">
        <v>53.9</v>
      </c>
      <c r="L266">
        <v>54.49</v>
      </c>
      <c r="M266">
        <v>31693515</v>
      </c>
      <c r="N266">
        <v>31774350</v>
      </c>
      <c r="O266">
        <v>0</v>
      </c>
      <c r="P266">
        <v>0</v>
      </c>
      <c r="Q266">
        <v>12957328</v>
      </c>
      <c r="R266">
        <v>12491955</v>
      </c>
      <c r="S266">
        <v>8976822</v>
      </c>
      <c r="T266">
        <v>8797156</v>
      </c>
      <c r="U266">
        <v>0</v>
      </c>
      <c r="V266">
        <v>0</v>
      </c>
      <c r="W266">
        <v>0</v>
      </c>
      <c r="X266">
        <v>0</v>
      </c>
      <c r="Y266">
        <v>29685731</v>
      </c>
      <c r="Z266">
        <v>29629059</v>
      </c>
      <c r="AA266">
        <f t="shared" si="9"/>
        <v>-465373</v>
      </c>
      <c r="AB266">
        <f t="shared" si="8"/>
        <v>-3.5915815359462999</v>
      </c>
    </row>
    <row r="267" spans="1:28">
      <c r="A267" t="s">
        <v>30</v>
      </c>
      <c r="B267" s="2">
        <v>44805</v>
      </c>
      <c r="C267" s="2">
        <v>44774</v>
      </c>
      <c r="D267" s="2">
        <v>44887</v>
      </c>
      <c r="E267">
        <v>24373872</v>
      </c>
      <c r="F267">
        <v>24439317</v>
      </c>
      <c r="G267">
        <v>65445</v>
      </c>
      <c r="H267">
        <v>90.1</v>
      </c>
      <c r="I267">
        <v>70000</v>
      </c>
      <c r="J267" t="s">
        <v>29</v>
      </c>
      <c r="K267">
        <v>5.29</v>
      </c>
      <c r="L267">
        <v>5.36</v>
      </c>
      <c r="M267">
        <v>10350589</v>
      </c>
      <c r="N267">
        <v>10438124</v>
      </c>
      <c r="O267">
        <v>0</v>
      </c>
      <c r="P267">
        <v>0</v>
      </c>
      <c r="Q267">
        <v>2316904</v>
      </c>
      <c r="R267">
        <v>2264284</v>
      </c>
      <c r="S267">
        <v>3289812</v>
      </c>
      <c r="T267">
        <v>3313824</v>
      </c>
      <c r="U267">
        <v>0</v>
      </c>
      <c r="V267">
        <v>0</v>
      </c>
      <c r="W267">
        <v>0</v>
      </c>
      <c r="X267">
        <v>0</v>
      </c>
      <c r="Y267">
        <v>8416567</v>
      </c>
      <c r="Z267">
        <v>8423085</v>
      </c>
      <c r="AA267">
        <f t="shared" si="9"/>
        <v>-52620</v>
      </c>
      <c r="AB267">
        <f t="shared" si="8"/>
        <v>-2.2711342377586643</v>
      </c>
    </row>
    <row r="268" spans="1:28">
      <c r="A268" t="s">
        <v>31</v>
      </c>
      <c r="B268" s="2">
        <v>44805</v>
      </c>
      <c r="C268" s="2">
        <v>44774</v>
      </c>
      <c r="D268" s="2">
        <v>44887</v>
      </c>
      <c r="E268">
        <v>90464732</v>
      </c>
      <c r="F268">
        <v>90923717</v>
      </c>
      <c r="G268">
        <v>458985</v>
      </c>
      <c r="H268">
        <v>75.38</v>
      </c>
      <c r="I268">
        <v>760000</v>
      </c>
      <c r="J268" t="s">
        <v>29</v>
      </c>
      <c r="K268">
        <v>37.71</v>
      </c>
      <c r="L268">
        <v>38.47</v>
      </c>
      <c r="M268">
        <v>39154621</v>
      </c>
      <c r="N268">
        <v>39367223</v>
      </c>
      <c r="O268">
        <v>0</v>
      </c>
      <c r="P268">
        <v>0</v>
      </c>
      <c r="Q268">
        <v>10115082</v>
      </c>
      <c r="R268">
        <v>9959642</v>
      </c>
      <c r="S268">
        <v>5646915</v>
      </c>
      <c r="T268">
        <v>5669094</v>
      </c>
      <c r="U268">
        <v>0</v>
      </c>
      <c r="V268">
        <v>0</v>
      </c>
      <c r="W268">
        <v>0</v>
      </c>
      <c r="X268">
        <v>0</v>
      </c>
      <c r="Y268">
        <v>35548114</v>
      </c>
      <c r="Z268">
        <v>35927758</v>
      </c>
      <c r="AA268">
        <f t="shared" si="9"/>
        <v>-155440</v>
      </c>
      <c r="AB268">
        <f t="shared" si="8"/>
        <v>-1.536715174429629</v>
      </c>
    </row>
    <row r="269" spans="1:28">
      <c r="A269" t="s">
        <v>32</v>
      </c>
      <c r="B269" s="2">
        <v>44805</v>
      </c>
      <c r="C269" s="2">
        <v>44774</v>
      </c>
      <c r="D269" s="2">
        <v>44887</v>
      </c>
      <c r="E269">
        <v>52812277</v>
      </c>
      <c r="F269">
        <v>53061836</v>
      </c>
      <c r="G269">
        <v>249559</v>
      </c>
      <c r="H269">
        <v>66.66</v>
      </c>
      <c r="I269">
        <v>530000</v>
      </c>
      <c r="J269" t="s">
        <v>29</v>
      </c>
      <c r="K269">
        <v>35.35</v>
      </c>
      <c r="L269">
        <v>35.880000000000003</v>
      </c>
      <c r="M269">
        <v>16358878</v>
      </c>
      <c r="N269">
        <v>16438020</v>
      </c>
      <c r="O269">
        <v>198</v>
      </c>
      <c r="P269">
        <v>198</v>
      </c>
      <c r="Q269">
        <v>16530586</v>
      </c>
      <c r="R269">
        <v>16616495</v>
      </c>
      <c r="S269">
        <v>0</v>
      </c>
      <c r="T269">
        <v>0</v>
      </c>
      <c r="U269">
        <v>0</v>
      </c>
      <c r="V269">
        <v>0</v>
      </c>
      <c r="W269">
        <v>1691991</v>
      </c>
      <c r="X269">
        <v>1691594</v>
      </c>
      <c r="Y269">
        <v>18230624</v>
      </c>
      <c r="Z269">
        <v>18315529</v>
      </c>
      <c r="AA269">
        <f t="shared" si="9"/>
        <v>85909</v>
      </c>
      <c r="AB269">
        <f t="shared" si="8"/>
        <v>0.51969724485266289</v>
      </c>
    </row>
    <row r="270" spans="1:28">
      <c r="A270" t="s">
        <v>33</v>
      </c>
      <c r="B270" s="2">
        <v>44805</v>
      </c>
      <c r="C270" s="2">
        <v>44774</v>
      </c>
      <c r="D270" s="2">
        <v>44887</v>
      </c>
      <c r="E270">
        <v>67152802</v>
      </c>
      <c r="F270">
        <v>66599729</v>
      </c>
      <c r="G270">
        <v>-553073</v>
      </c>
      <c r="H270">
        <v>91.02</v>
      </c>
      <c r="I270">
        <v>940000</v>
      </c>
      <c r="J270" t="s">
        <v>29</v>
      </c>
      <c r="K270">
        <v>49.89</v>
      </c>
      <c r="L270">
        <v>50.83</v>
      </c>
      <c r="M270">
        <v>11371451</v>
      </c>
      <c r="N270">
        <v>11252833</v>
      </c>
      <c r="O270">
        <v>57</v>
      </c>
      <c r="P270">
        <v>57</v>
      </c>
      <c r="Q270">
        <v>23683216</v>
      </c>
      <c r="R270">
        <v>23266733</v>
      </c>
      <c r="S270">
        <v>5364415</v>
      </c>
      <c r="T270">
        <v>5293414</v>
      </c>
      <c r="U270">
        <v>0</v>
      </c>
      <c r="V270">
        <v>0</v>
      </c>
      <c r="W270">
        <v>0</v>
      </c>
      <c r="X270">
        <v>0</v>
      </c>
      <c r="Y270">
        <v>26733663</v>
      </c>
      <c r="Z270">
        <v>26786692</v>
      </c>
      <c r="AA270">
        <f t="shared" si="9"/>
        <v>-416483</v>
      </c>
      <c r="AB270">
        <f t="shared" si="8"/>
        <v>-1.7585576215662602</v>
      </c>
    </row>
    <row r="271" spans="1:28">
      <c r="A271" t="s">
        <v>34</v>
      </c>
      <c r="B271" s="2">
        <v>44805</v>
      </c>
      <c r="C271" s="2">
        <v>44774</v>
      </c>
      <c r="D271" s="2">
        <v>44887</v>
      </c>
      <c r="E271">
        <v>26690392</v>
      </c>
      <c r="F271">
        <v>26746029</v>
      </c>
      <c r="G271">
        <v>55637</v>
      </c>
      <c r="H271">
        <v>85.89</v>
      </c>
      <c r="I271">
        <v>330000</v>
      </c>
      <c r="J271" t="s">
        <v>29</v>
      </c>
      <c r="K271">
        <v>24.18</v>
      </c>
      <c r="L271">
        <v>24.51</v>
      </c>
      <c r="M271">
        <v>6281489</v>
      </c>
      <c r="N271">
        <v>6314298</v>
      </c>
      <c r="O271">
        <v>13</v>
      </c>
      <c r="P271">
        <v>13</v>
      </c>
      <c r="Q271">
        <v>7771735</v>
      </c>
      <c r="R271">
        <v>7729482</v>
      </c>
      <c r="S271">
        <v>4633316</v>
      </c>
      <c r="T271">
        <v>4724280</v>
      </c>
      <c r="U271">
        <v>0</v>
      </c>
      <c r="V271">
        <v>0</v>
      </c>
      <c r="W271">
        <v>0</v>
      </c>
      <c r="X271">
        <v>0</v>
      </c>
      <c r="Y271">
        <v>8003839</v>
      </c>
      <c r="Z271">
        <v>7977956</v>
      </c>
      <c r="AA271">
        <f t="shared" si="9"/>
        <v>-42253</v>
      </c>
      <c r="AB271">
        <f t="shared" si="8"/>
        <v>-0.54367525398125394</v>
      </c>
    </row>
    <row r="272" spans="1:28">
      <c r="A272" t="s">
        <v>35</v>
      </c>
      <c r="B272" s="2">
        <v>44805</v>
      </c>
      <c r="C272" s="2">
        <v>44774</v>
      </c>
      <c r="D272" s="2">
        <v>44887</v>
      </c>
      <c r="E272">
        <v>9790746</v>
      </c>
      <c r="F272">
        <v>9800100</v>
      </c>
      <c r="G272">
        <v>9354</v>
      </c>
      <c r="H272">
        <v>101.1</v>
      </c>
      <c r="I272">
        <v>50000</v>
      </c>
      <c r="J272" t="s">
        <v>29</v>
      </c>
      <c r="K272">
        <v>3.3</v>
      </c>
      <c r="L272">
        <v>3.35</v>
      </c>
      <c r="M272">
        <v>3351375</v>
      </c>
      <c r="N272">
        <v>3368664</v>
      </c>
      <c r="O272">
        <v>92</v>
      </c>
      <c r="P272">
        <v>92</v>
      </c>
      <c r="Q272">
        <v>528275</v>
      </c>
      <c r="R272">
        <v>521480</v>
      </c>
      <c r="S272">
        <v>2658073</v>
      </c>
      <c r="T272">
        <v>2613363</v>
      </c>
      <c r="U272">
        <v>0</v>
      </c>
      <c r="V272">
        <v>0</v>
      </c>
      <c r="W272">
        <v>0</v>
      </c>
      <c r="X272">
        <v>0</v>
      </c>
      <c r="Y272">
        <v>3252931</v>
      </c>
      <c r="Z272">
        <v>3296501</v>
      </c>
      <c r="AA272">
        <f t="shared" si="9"/>
        <v>-6795</v>
      </c>
      <c r="AB272">
        <f t="shared" si="8"/>
        <v>-1.2862618901140506</v>
      </c>
    </row>
    <row r="273" spans="1:28">
      <c r="A273" t="s">
        <v>36</v>
      </c>
      <c r="B273" s="2">
        <v>44805</v>
      </c>
      <c r="C273" s="2">
        <v>44774</v>
      </c>
      <c r="D273" s="2">
        <v>44887</v>
      </c>
      <c r="E273">
        <v>12010470</v>
      </c>
      <c r="F273">
        <v>12067390</v>
      </c>
      <c r="G273">
        <v>56920</v>
      </c>
      <c r="H273">
        <v>77.989999999999995</v>
      </c>
      <c r="I273">
        <v>30000</v>
      </c>
      <c r="J273" t="s">
        <v>29</v>
      </c>
      <c r="K273">
        <v>1.68</v>
      </c>
      <c r="L273">
        <v>1.71</v>
      </c>
      <c r="M273">
        <v>5848363</v>
      </c>
      <c r="N273">
        <v>5870318</v>
      </c>
      <c r="O273">
        <v>0</v>
      </c>
      <c r="P273">
        <v>0</v>
      </c>
      <c r="Q273">
        <v>428138</v>
      </c>
      <c r="R273">
        <v>414420</v>
      </c>
      <c r="S273">
        <v>834456</v>
      </c>
      <c r="T273">
        <v>832966</v>
      </c>
      <c r="U273">
        <v>0</v>
      </c>
      <c r="V273">
        <v>0</v>
      </c>
      <c r="W273">
        <v>0</v>
      </c>
      <c r="X273">
        <v>0</v>
      </c>
      <c r="Y273">
        <v>4899513</v>
      </c>
      <c r="Z273">
        <v>4949686</v>
      </c>
      <c r="AA273">
        <f t="shared" si="9"/>
        <v>-13718</v>
      </c>
      <c r="AB273">
        <f t="shared" si="8"/>
        <v>-3.2041070869672859</v>
      </c>
    </row>
    <row r="274" spans="1:28">
      <c r="A274" t="s">
        <v>37</v>
      </c>
      <c r="B274" s="2">
        <v>44805</v>
      </c>
      <c r="C274" s="2">
        <v>44774</v>
      </c>
      <c r="D274" s="2">
        <v>44887</v>
      </c>
      <c r="E274">
        <v>65447820</v>
      </c>
      <c r="F274">
        <v>65731674</v>
      </c>
      <c r="G274">
        <v>283854</v>
      </c>
      <c r="H274">
        <v>84.55</v>
      </c>
      <c r="I274">
        <v>650000</v>
      </c>
      <c r="J274" t="s">
        <v>29</v>
      </c>
      <c r="K274">
        <v>55.71</v>
      </c>
      <c r="L274">
        <v>56.36</v>
      </c>
      <c r="M274">
        <v>30882862</v>
      </c>
      <c r="N274">
        <v>30920839</v>
      </c>
      <c r="O274">
        <v>601</v>
      </c>
      <c r="P274">
        <v>601</v>
      </c>
      <c r="Q274">
        <v>7442360</v>
      </c>
      <c r="R274">
        <v>7668092</v>
      </c>
      <c r="S274">
        <v>6610337</v>
      </c>
      <c r="T274">
        <v>6576460</v>
      </c>
      <c r="U274">
        <v>0</v>
      </c>
      <c r="V274">
        <v>0</v>
      </c>
      <c r="W274">
        <v>0</v>
      </c>
      <c r="X274">
        <v>0</v>
      </c>
      <c r="Y274">
        <v>20511660</v>
      </c>
      <c r="Z274">
        <v>20565682</v>
      </c>
      <c r="AA274">
        <f t="shared" si="9"/>
        <v>225732</v>
      </c>
      <c r="AB274">
        <f t="shared" si="8"/>
        <v>3.0330701551658343</v>
      </c>
    </row>
    <row r="275" spans="1:28">
      <c r="A275" t="s">
        <v>38</v>
      </c>
      <c r="B275" s="2">
        <v>44805</v>
      </c>
      <c r="C275" s="2">
        <v>44774</v>
      </c>
      <c r="D275" s="2">
        <v>44887</v>
      </c>
      <c r="E275">
        <v>42758645</v>
      </c>
      <c r="F275">
        <v>42686704</v>
      </c>
      <c r="G275">
        <v>-71941</v>
      </c>
      <c r="H275">
        <v>92.22</v>
      </c>
      <c r="I275">
        <v>200000</v>
      </c>
      <c r="J275" t="s">
        <v>29</v>
      </c>
      <c r="K275">
        <v>19.39</v>
      </c>
      <c r="L275">
        <v>19.59</v>
      </c>
      <c r="M275">
        <v>7808380</v>
      </c>
      <c r="N275">
        <v>7821693</v>
      </c>
      <c r="O275">
        <v>152</v>
      </c>
      <c r="P275">
        <v>152</v>
      </c>
      <c r="Q275">
        <v>15078888</v>
      </c>
      <c r="R275">
        <v>14990802</v>
      </c>
      <c r="S275">
        <v>10184966</v>
      </c>
      <c r="T275">
        <v>10115577</v>
      </c>
      <c r="U275">
        <v>0</v>
      </c>
      <c r="V275">
        <v>0</v>
      </c>
      <c r="W275">
        <v>0</v>
      </c>
      <c r="X275">
        <v>0</v>
      </c>
      <c r="Y275">
        <v>9686259</v>
      </c>
      <c r="Z275">
        <v>9758480</v>
      </c>
      <c r="AA275">
        <f t="shared" si="9"/>
        <v>-88086</v>
      </c>
      <c r="AB275">
        <f t="shared" si="8"/>
        <v>-0.5841677449955196</v>
      </c>
    </row>
    <row r="276" spans="1:28">
      <c r="A276" t="s">
        <v>39</v>
      </c>
      <c r="B276" s="2">
        <v>44805</v>
      </c>
      <c r="C276" s="2">
        <v>44774</v>
      </c>
      <c r="D276" s="2">
        <v>44887</v>
      </c>
      <c r="E276">
        <v>23950285</v>
      </c>
      <c r="F276">
        <v>23894523</v>
      </c>
      <c r="G276">
        <v>-55762</v>
      </c>
      <c r="H276">
        <v>88.81</v>
      </c>
      <c r="I276">
        <v>150000</v>
      </c>
      <c r="J276" t="s">
        <v>29</v>
      </c>
      <c r="K276">
        <v>14.75</v>
      </c>
      <c r="L276">
        <v>14.9</v>
      </c>
      <c r="M276">
        <v>5682836</v>
      </c>
      <c r="N276">
        <v>5687241</v>
      </c>
      <c r="O276">
        <v>0</v>
      </c>
      <c r="P276">
        <v>0</v>
      </c>
      <c r="Q276">
        <v>6024917</v>
      </c>
      <c r="R276">
        <v>5993135</v>
      </c>
      <c r="S276">
        <v>2184737</v>
      </c>
      <c r="T276">
        <v>2172368</v>
      </c>
      <c r="U276">
        <v>0</v>
      </c>
      <c r="V276">
        <v>0</v>
      </c>
      <c r="W276">
        <v>0</v>
      </c>
      <c r="X276">
        <v>0</v>
      </c>
      <c r="Y276">
        <v>10057795</v>
      </c>
      <c r="Z276">
        <v>10041779</v>
      </c>
      <c r="AA276">
        <f t="shared" si="9"/>
        <v>-31782</v>
      </c>
      <c r="AB276">
        <f t="shared" si="8"/>
        <v>-0.52750934162246554</v>
      </c>
    </row>
    <row r="277" spans="1:28">
      <c r="A277" t="s">
        <v>40</v>
      </c>
      <c r="B277" s="2">
        <v>44805</v>
      </c>
      <c r="C277" s="2">
        <v>44774</v>
      </c>
      <c r="D277" s="2">
        <v>44887</v>
      </c>
      <c r="E277">
        <v>77594228</v>
      </c>
      <c r="F277">
        <v>76802638</v>
      </c>
      <c r="G277">
        <v>-791590</v>
      </c>
      <c r="H277">
        <v>83.09</v>
      </c>
      <c r="I277">
        <v>1050000</v>
      </c>
      <c r="J277" t="s">
        <v>29</v>
      </c>
      <c r="K277">
        <v>54.59</v>
      </c>
      <c r="L277">
        <v>55.64</v>
      </c>
      <c r="M277">
        <v>15344621</v>
      </c>
      <c r="N277">
        <v>15342537</v>
      </c>
      <c r="O277">
        <v>0</v>
      </c>
      <c r="P277">
        <v>0</v>
      </c>
      <c r="Q277">
        <v>19166403</v>
      </c>
      <c r="R277">
        <v>18318854</v>
      </c>
      <c r="S277">
        <v>5676648</v>
      </c>
      <c r="T277">
        <v>5628013</v>
      </c>
      <c r="U277">
        <v>0</v>
      </c>
      <c r="V277">
        <v>0</v>
      </c>
      <c r="W277">
        <v>0</v>
      </c>
      <c r="X277">
        <v>0</v>
      </c>
      <c r="Y277">
        <v>37406556</v>
      </c>
      <c r="Z277">
        <v>37513234</v>
      </c>
      <c r="AA277">
        <f t="shared" si="9"/>
        <v>-847549</v>
      </c>
      <c r="AB277">
        <f t="shared" si="8"/>
        <v>-4.4220556147128915</v>
      </c>
    </row>
    <row r="278" spans="1:28">
      <c r="A278" t="s">
        <v>41</v>
      </c>
      <c r="B278" s="2">
        <v>44805</v>
      </c>
      <c r="C278" s="2">
        <v>44774</v>
      </c>
      <c r="D278" s="2">
        <v>44887</v>
      </c>
      <c r="E278">
        <v>92231152</v>
      </c>
      <c r="F278">
        <v>91745457</v>
      </c>
      <c r="G278">
        <v>-485695</v>
      </c>
      <c r="H278">
        <v>87.61</v>
      </c>
      <c r="I278">
        <v>1010000</v>
      </c>
      <c r="J278" t="s">
        <v>29</v>
      </c>
      <c r="K278">
        <v>60.66</v>
      </c>
      <c r="L278">
        <v>61.67</v>
      </c>
      <c r="M278">
        <v>20438915</v>
      </c>
      <c r="N278">
        <v>20547335</v>
      </c>
      <c r="O278">
        <v>0</v>
      </c>
      <c r="P278">
        <v>0</v>
      </c>
      <c r="Q278">
        <v>26908840</v>
      </c>
      <c r="R278">
        <v>26351731</v>
      </c>
      <c r="S278">
        <v>6502724</v>
      </c>
      <c r="T278">
        <v>6386783</v>
      </c>
      <c r="U278">
        <v>0</v>
      </c>
      <c r="V278">
        <v>0</v>
      </c>
      <c r="W278">
        <v>0</v>
      </c>
      <c r="X278">
        <v>0</v>
      </c>
      <c r="Y278">
        <v>38380673</v>
      </c>
      <c r="Z278">
        <v>38459608</v>
      </c>
      <c r="AA278">
        <f t="shared" si="9"/>
        <v>-557109</v>
      </c>
      <c r="AB278">
        <f t="shared" si="8"/>
        <v>-2.0703568046783136</v>
      </c>
    </row>
    <row r="279" spans="1:28">
      <c r="A279" t="s">
        <v>42</v>
      </c>
      <c r="B279" s="2">
        <v>44805</v>
      </c>
      <c r="C279" s="2">
        <v>44774</v>
      </c>
      <c r="D279" s="2">
        <v>44887</v>
      </c>
      <c r="E279">
        <v>33899156</v>
      </c>
      <c r="F279">
        <v>33842186</v>
      </c>
      <c r="G279">
        <v>-56970</v>
      </c>
      <c r="H279">
        <v>71.53</v>
      </c>
      <c r="I279">
        <v>230000</v>
      </c>
      <c r="J279" t="s">
        <v>29</v>
      </c>
      <c r="K279">
        <v>28.29</v>
      </c>
      <c r="L279">
        <v>28.52</v>
      </c>
      <c r="M279">
        <v>9359238</v>
      </c>
      <c r="N279">
        <v>9390935</v>
      </c>
      <c r="O279">
        <v>1197</v>
      </c>
      <c r="P279">
        <v>1197</v>
      </c>
      <c r="Q279">
        <v>11532881</v>
      </c>
      <c r="R279">
        <v>11440567</v>
      </c>
      <c r="S279">
        <v>0</v>
      </c>
      <c r="T279">
        <v>0</v>
      </c>
      <c r="U279">
        <v>0</v>
      </c>
      <c r="V279">
        <v>0</v>
      </c>
      <c r="W279">
        <v>1085252</v>
      </c>
      <c r="X279">
        <v>1078159</v>
      </c>
      <c r="Y279">
        <v>11920588</v>
      </c>
      <c r="Z279">
        <v>11931328</v>
      </c>
      <c r="AA279">
        <f t="shared" si="9"/>
        <v>-92314</v>
      </c>
      <c r="AB279">
        <f t="shared" si="8"/>
        <v>-0.80044179767397239</v>
      </c>
    </row>
    <row r="280" spans="1:28">
      <c r="A280" t="s">
        <v>43</v>
      </c>
      <c r="B280" s="2">
        <v>44805</v>
      </c>
      <c r="C280" s="2">
        <v>44774</v>
      </c>
      <c r="D280" s="2">
        <v>44887</v>
      </c>
      <c r="E280">
        <v>12089234</v>
      </c>
      <c r="F280">
        <v>12129745</v>
      </c>
      <c r="G280">
        <v>40511</v>
      </c>
      <c r="H280">
        <v>93.57</v>
      </c>
      <c r="I280">
        <v>20000</v>
      </c>
      <c r="J280" t="s">
        <v>29</v>
      </c>
      <c r="K280">
        <v>1.81</v>
      </c>
      <c r="L280">
        <v>1.83</v>
      </c>
      <c r="M280">
        <v>5749887</v>
      </c>
      <c r="N280">
        <v>5780529</v>
      </c>
      <c r="O280">
        <v>0</v>
      </c>
      <c r="P280">
        <v>0</v>
      </c>
      <c r="Q280">
        <v>1036909</v>
      </c>
      <c r="R280">
        <v>1023214</v>
      </c>
      <c r="S280">
        <v>1398132</v>
      </c>
      <c r="T280">
        <v>1389461</v>
      </c>
      <c r="U280">
        <v>0</v>
      </c>
      <c r="V280">
        <v>0</v>
      </c>
      <c r="W280">
        <v>0</v>
      </c>
      <c r="X280">
        <v>0</v>
      </c>
      <c r="Y280">
        <v>3904306</v>
      </c>
      <c r="Z280">
        <v>3936541</v>
      </c>
      <c r="AA280">
        <f t="shared" si="9"/>
        <v>-13695</v>
      </c>
      <c r="AB280">
        <f t="shared" si="8"/>
        <v>-1.3207523514599642</v>
      </c>
    </row>
    <row r="281" spans="1:28">
      <c r="A281" t="s">
        <v>44</v>
      </c>
      <c r="B281" s="2">
        <v>44805</v>
      </c>
      <c r="C281" s="2">
        <v>44774</v>
      </c>
      <c r="D281" s="2">
        <v>44887</v>
      </c>
      <c r="E281">
        <v>33011913</v>
      </c>
      <c r="F281">
        <v>33069984</v>
      </c>
      <c r="G281">
        <v>58071</v>
      </c>
      <c r="H281">
        <v>92.89</v>
      </c>
      <c r="I281">
        <v>150000</v>
      </c>
      <c r="J281" t="s">
        <v>29</v>
      </c>
      <c r="K281">
        <v>13.87</v>
      </c>
      <c r="L281">
        <v>14.02</v>
      </c>
      <c r="M281">
        <v>11234951</v>
      </c>
      <c r="N281">
        <v>11302188</v>
      </c>
      <c r="O281">
        <v>32</v>
      </c>
      <c r="P281">
        <v>32</v>
      </c>
      <c r="Q281">
        <v>1680848</v>
      </c>
      <c r="R281">
        <v>1677824</v>
      </c>
      <c r="S281">
        <v>6316772</v>
      </c>
      <c r="T281">
        <v>6330453</v>
      </c>
      <c r="U281">
        <v>0</v>
      </c>
      <c r="V281">
        <v>0</v>
      </c>
      <c r="W281">
        <v>0</v>
      </c>
      <c r="X281">
        <v>0</v>
      </c>
      <c r="Y281">
        <v>13779310</v>
      </c>
      <c r="Z281">
        <v>13759487</v>
      </c>
      <c r="AA281">
        <f t="shared" si="9"/>
        <v>-3024</v>
      </c>
      <c r="AB281">
        <f t="shared" si="8"/>
        <v>-0.17990918869523004</v>
      </c>
    </row>
    <row r="282" spans="1:28">
      <c r="A282" t="s">
        <v>45</v>
      </c>
      <c r="B282" s="2">
        <v>44805</v>
      </c>
      <c r="C282" s="2">
        <v>44774</v>
      </c>
      <c r="D282" s="2">
        <v>44887</v>
      </c>
      <c r="E282">
        <v>36351705</v>
      </c>
      <c r="F282">
        <v>35821147</v>
      </c>
      <c r="G282">
        <v>-530558</v>
      </c>
      <c r="H282">
        <v>88.46</v>
      </c>
      <c r="I282">
        <v>320000</v>
      </c>
      <c r="J282" t="s">
        <v>29</v>
      </c>
      <c r="K282">
        <v>26.55</v>
      </c>
      <c r="L282">
        <v>26.87</v>
      </c>
      <c r="M282">
        <v>12027193</v>
      </c>
      <c r="N282">
        <v>12053572</v>
      </c>
      <c r="O282">
        <v>113</v>
      </c>
      <c r="P282">
        <v>113</v>
      </c>
      <c r="Q282">
        <v>8210720</v>
      </c>
      <c r="R282">
        <v>7640310</v>
      </c>
      <c r="S282">
        <v>5076739</v>
      </c>
      <c r="T282">
        <v>5054814</v>
      </c>
      <c r="U282">
        <v>0</v>
      </c>
      <c r="V282">
        <v>0</v>
      </c>
      <c r="W282">
        <v>0</v>
      </c>
      <c r="X282">
        <v>0</v>
      </c>
      <c r="Y282">
        <v>11036940</v>
      </c>
      <c r="Z282">
        <v>11072338</v>
      </c>
      <c r="AA282">
        <f t="shared" si="9"/>
        <v>-570410</v>
      </c>
      <c r="AB282">
        <f t="shared" si="8"/>
        <v>-6.9471374008613127</v>
      </c>
    </row>
    <row r="283" spans="1:28">
      <c r="A283" t="s">
        <v>46</v>
      </c>
      <c r="B283" s="2">
        <v>44805</v>
      </c>
      <c r="C283" s="2">
        <v>44774</v>
      </c>
      <c r="D283" s="2">
        <v>44887</v>
      </c>
      <c r="E283">
        <v>63441497</v>
      </c>
      <c r="F283">
        <v>63338558</v>
      </c>
      <c r="G283">
        <v>-102939</v>
      </c>
      <c r="H283">
        <v>90.59</v>
      </c>
      <c r="I283">
        <v>780000</v>
      </c>
      <c r="J283" t="s">
        <v>29</v>
      </c>
      <c r="K283">
        <v>52.55</v>
      </c>
      <c r="L283">
        <v>53.33</v>
      </c>
      <c r="M283">
        <v>22159978</v>
      </c>
      <c r="N283">
        <v>22111587</v>
      </c>
      <c r="O283">
        <v>161</v>
      </c>
      <c r="P283">
        <v>161</v>
      </c>
      <c r="Q283">
        <v>10750310</v>
      </c>
      <c r="R283">
        <v>10609215</v>
      </c>
      <c r="S283">
        <v>6411947</v>
      </c>
      <c r="T283">
        <v>6390012</v>
      </c>
      <c r="U283">
        <v>0</v>
      </c>
      <c r="V283">
        <v>0</v>
      </c>
      <c r="W283">
        <v>0</v>
      </c>
      <c r="X283">
        <v>0</v>
      </c>
      <c r="Y283">
        <v>24119101</v>
      </c>
      <c r="Z283">
        <v>24227583</v>
      </c>
      <c r="AA283">
        <f t="shared" si="9"/>
        <v>-141095</v>
      </c>
      <c r="AB283">
        <f t="shared" si="8"/>
        <v>-1.3124737798258841</v>
      </c>
    </row>
    <row r="284" spans="1:28">
      <c r="A284" t="s">
        <v>47</v>
      </c>
      <c r="B284" s="2">
        <v>44805</v>
      </c>
      <c r="C284" s="2">
        <v>44774</v>
      </c>
      <c r="D284" s="2">
        <v>44887</v>
      </c>
      <c r="E284">
        <v>78135188</v>
      </c>
      <c r="F284">
        <v>77946654</v>
      </c>
      <c r="G284">
        <v>-188534</v>
      </c>
      <c r="H284">
        <v>92.87</v>
      </c>
      <c r="I284">
        <v>480000</v>
      </c>
      <c r="J284" t="s">
        <v>29</v>
      </c>
      <c r="K284">
        <v>51.65</v>
      </c>
      <c r="L284">
        <v>52.13</v>
      </c>
      <c r="M284">
        <v>27082054</v>
      </c>
      <c r="N284">
        <v>27160209</v>
      </c>
      <c r="O284">
        <v>272</v>
      </c>
      <c r="P284">
        <v>272</v>
      </c>
      <c r="Q284">
        <v>17555468</v>
      </c>
      <c r="R284">
        <v>17445195</v>
      </c>
      <c r="S284">
        <v>9542312</v>
      </c>
      <c r="T284">
        <v>9532053</v>
      </c>
      <c r="U284">
        <v>73727</v>
      </c>
      <c r="V284">
        <v>73001</v>
      </c>
      <c r="W284">
        <v>0</v>
      </c>
      <c r="X284">
        <v>0</v>
      </c>
      <c r="Y284">
        <v>23881355</v>
      </c>
      <c r="Z284">
        <v>23735924</v>
      </c>
      <c r="AA284">
        <f t="shared" si="9"/>
        <v>-110273</v>
      </c>
      <c r="AB284">
        <f t="shared" si="8"/>
        <v>-0.62814047452337929</v>
      </c>
    </row>
    <row r="285" spans="1:28">
      <c r="A285" t="s">
        <v>48</v>
      </c>
      <c r="B285" s="2">
        <v>44805</v>
      </c>
      <c r="C285" s="2">
        <v>44774</v>
      </c>
      <c r="D285" s="2">
        <v>44887</v>
      </c>
      <c r="E285">
        <v>101634811</v>
      </c>
      <c r="F285">
        <v>100756437</v>
      </c>
      <c r="G285">
        <v>-878374</v>
      </c>
      <c r="H285">
        <v>83.25</v>
      </c>
      <c r="I285">
        <v>1680000</v>
      </c>
      <c r="J285" t="s">
        <v>29</v>
      </c>
      <c r="K285">
        <v>59.27</v>
      </c>
      <c r="L285">
        <v>60.95</v>
      </c>
      <c r="M285">
        <v>36508080</v>
      </c>
      <c r="N285">
        <v>36164407</v>
      </c>
      <c r="O285">
        <v>0</v>
      </c>
      <c r="P285">
        <v>0</v>
      </c>
      <c r="Q285">
        <v>19910512</v>
      </c>
      <c r="R285">
        <v>19609019</v>
      </c>
      <c r="S285">
        <v>10644914</v>
      </c>
      <c r="T285">
        <v>10371737</v>
      </c>
      <c r="U285">
        <v>0</v>
      </c>
      <c r="V285">
        <v>0</v>
      </c>
      <c r="W285">
        <v>0</v>
      </c>
      <c r="X285">
        <v>0</v>
      </c>
      <c r="Y285">
        <v>34571305</v>
      </c>
      <c r="Z285">
        <v>34611274</v>
      </c>
      <c r="AA285">
        <f t="shared" si="9"/>
        <v>-301493</v>
      </c>
      <c r="AB285">
        <f t="shared" si="8"/>
        <v>-1.5142403168738203</v>
      </c>
    </row>
    <row r="286" spans="1:28">
      <c r="A286" t="s">
        <v>49</v>
      </c>
      <c r="B286" s="2">
        <v>44805</v>
      </c>
      <c r="C286" s="2">
        <v>44774</v>
      </c>
      <c r="D286" s="2">
        <v>44887</v>
      </c>
      <c r="E286">
        <v>64585515</v>
      </c>
      <c r="F286">
        <v>64225205</v>
      </c>
      <c r="G286">
        <v>-360310</v>
      </c>
      <c r="H286">
        <v>83.33</v>
      </c>
      <c r="I286">
        <v>1260000</v>
      </c>
      <c r="J286" t="s">
        <v>29</v>
      </c>
      <c r="K286">
        <v>46.44</v>
      </c>
      <c r="L286">
        <v>47.7</v>
      </c>
      <c r="M286">
        <v>18758857</v>
      </c>
      <c r="N286">
        <v>18692418</v>
      </c>
      <c r="O286">
        <v>8</v>
      </c>
      <c r="P286">
        <v>8</v>
      </c>
      <c r="Q286">
        <v>18103713</v>
      </c>
      <c r="R286">
        <v>17878479</v>
      </c>
      <c r="S286">
        <v>5736206</v>
      </c>
      <c r="T286">
        <v>5709997</v>
      </c>
      <c r="U286">
        <v>0</v>
      </c>
      <c r="V286">
        <v>0</v>
      </c>
      <c r="W286">
        <v>0</v>
      </c>
      <c r="X286">
        <v>0</v>
      </c>
      <c r="Y286">
        <v>21986731</v>
      </c>
      <c r="Z286">
        <v>21944303</v>
      </c>
      <c r="AA286">
        <f t="shared" si="9"/>
        <v>-225234</v>
      </c>
      <c r="AB286">
        <f t="shared" si="8"/>
        <v>-1.2441315215282081</v>
      </c>
    </row>
    <row r="287" spans="1:28">
      <c r="A287" t="s">
        <v>50</v>
      </c>
      <c r="B287" s="2">
        <v>44805</v>
      </c>
      <c r="C287" s="2">
        <v>44774</v>
      </c>
      <c r="D287" s="2">
        <v>44887</v>
      </c>
      <c r="E287">
        <v>57371437</v>
      </c>
      <c r="F287">
        <v>57125294</v>
      </c>
      <c r="G287">
        <v>-246143</v>
      </c>
      <c r="H287">
        <v>85.31</v>
      </c>
      <c r="I287">
        <v>700000</v>
      </c>
      <c r="J287" t="s">
        <v>29</v>
      </c>
      <c r="K287">
        <v>39.29</v>
      </c>
      <c r="L287">
        <v>39.99</v>
      </c>
      <c r="M287">
        <v>16359837</v>
      </c>
      <c r="N287">
        <v>16421417</v>
      </c>
      <c r="O287">
        <v>157</v>
      </c>
      <c r="P287">
        <v>157</v>
      </c>
      <c r="Q287">
        <v>15410317</v>
      </c>
      <c r="R287">
        <v>15221878</v>
      </c>
      <c r="S287">
        <v>2372905</v>
      </c>
      <c r="T287">
        <v>2379097</v>
      </c>
      <c r="U287">
        <v>0</v>
      </c>
      <c r="V287">
        <v>0</v>
      </c>
      <c r="W287">
        <v>0</v>
      </c>
      <c r="X287">
        <v>0</v>
      </c>
      <c r="Y287">
        <v>23228221</v>
      </c>
      <c r="Z287">
        <v>23102745</v>
      </c>
      <c r="AA287">
        <f t="shared" si="9"/>
        <v>-188439</v>
      </c>
      <c r="AB287">
        <f t="shared" si="8"/>
        <v>-1.2228106663866811</v>
      </c>
    </row>
    <row r="288" spans="1:28">
      <c r="A288" t="s">
        <v>28</v>
      </c>
      <c r="B288" s="2">
        <v>44835</v>
      </c>
      <c r="C288" s="2">
        <v>44805</v>
      </c>
      <c r="D288" s="2">
        <v>44914</v>
      </c>
      <c r="E288">
        <v>82692520</v>
      </c>
      <c r="F288">
        <v>82655053</v>
      </c>
      <c r="G288">
        <v>-37467</v>
      </c>
      <c r="H288">
        <v>92.82</v>
      </c>
      <c r="I288">
        <v>620000</v>
      </c>
      <c r="J288" t="s">
        <v>29</v>
      </c>
      <c r="K288">
        <v>54.49</v>
      </c>
      <c r="L288">
        <v>55.11</v>
      </c>
      <c r="M288">
        <v>31774350</v>
      </c>
      <c r="N288">
        <v>31881272</v>
      </c>
      <c r="O288">
        <v>0</v>
      </c>
      <c r="P288">
        <v>0</v>
      </c>
      <c r="Q288">
        <v>12491955</v>
      </c>
      <c r="R288">
        <v>12300968</v>
      </c>
      <c r="S288">
        <v>8797156</v>
      </c>
      <c r="T288">
        <v>8781567</v>
      </c>
      <c r="U288">
        <v>0</v>
      </c>
      <c r="V288">
        <v>0</v>
      </c>
      <c r="W288">
        <v>0</v>
      </c>
      <c r="X288">
        <v>0</v>
      </c>
      <c r="Y288">
        <v>29629059</v>
      </c>
      <c r="Z288">
        <v>29691246</v>
      </c>
      <c r="AA288">
        <f t="shared" si="9"/>
        <v>-190987</v>
      </c>
      <c r="AB288">
        <f t="shared" si="8"/>
        <v>-1.5288799871597361</v>
      </c>
    </row>
    <row r="289" spans="1:28">
      <c r="A289" t="s">
        <v>30</v>
      </c>
      <c r="B289" s="2">
        <v>44835</v>
      </c>
      <c r="C289" s="2">
        <v>44805</v>
      </c>
      <c r="D289" s="2">
        <v>44914</v>
      </c>
      <c r="E289">
        <v>24439317</v>
      </c>
      <c r="F289">
        <v>24530976</v>
      </c>
      <c r="G289">
        <v>91659</v>
      </c>
      <c r="H289">
        <v>90.79</v>
      </c>
      <c r="I289">
        <v>70000</v>
      </c>
      <c r="J289" t="s">
        <v>29</v>
      </c>
      <c r="K289">
        <v>5.36</v>
      </c>
      <c r="L289">
        <v>5.43</v>
      </c>
      <c r="M289">
        <v>10438124</v>
      </c>
      <c r="N289">
        <v>10502842</v>
      </c>
      <c r="O289">
        <v>0</v>
      </c>
      <c r="P289">
        <v>0</v>
      </c>
      <c r="Q289">
        <v>2264284</v>
      </c>
      <c r="R289">
        <v>2203229</v>
      </c>
      <c r="S289">
        <v>3313824</v>
      </c>
      <c r="T289">
        <v>3336449</v>
      </c>
      <c r="U289">
        <v>0</v>
      </c>
      <c r="V289">
        <v>0</v>
      </c>
      <c r="W289">
        <v>0</v>
      </c>
      <c r="X289">
        <v>0</v>
      </c>
      <c r="Y289">
        <v>8423085</v>
      </c>
      <c r="Z289">
        <v>8488456</v>
      </c>
      <c r="AA289">
        <f t="shared" si="9"/>
        <v>-61055</v>
      </c>
      <c r="AB289">
        <f t="shared" si="8"/>
        <v>-2.6964373726970647</v>
      </c>
    </row>
    <row r="290" spans="1:28">
      <c r="A290" t="s">
        <v>31</v>
      </c>
      <c r="B290" s="2">
        <v>44835</v>
      </c>
      <c r="C290" s="2">
        <v>44805</v>
      </c>
      <c r="D290" s="2">
        <v>44914</v>
      </c>
      <c r="E290">
        <v>90923717</v>
      </c>
      <c r="F290">
        <v>91020987</v>
      </c>
      <c r="G290">
        <v>97270</v>
      </c>
      <c r="H290">
        <v>79.510000000000005</v>
      </c>
      <c r="I290">
        <v>740000</v>
      </c>
      <c r="J290" t="s">
        <v>29</v>
      </c>
      <c r="K290">
        <v>38.47</v>
      </c>
      <c r="L290">
        <v>39.21</v>
      </c>
      <c r="M290">
        <v>39367223</v>
      </c>
      <c r="N290">
        <v>39544824</v>
      </c>
      <c r="O290">
        <v>0</v>
      </c>
      <c r="P290">
        <v>0</v>
      </c>
      <c r="Q290">
        <v>9959642</v>
      </c>
      <c r="R290">
        <v>9700393</v>
      </c>
      <c r="S290">
        <v>5669094</v>
      </c>
      <c r="T290">
        <v>5690177</v>
      </c>
      <c r="U290">
        <v>0</v>
      </c>
      <c r="V290">
        <v>0</v>
      </c>
      <c r="W290">
        <v>0</v>
      </c>
      <c r="X290">
        <v>0</v>
      </c>
      <c r="Y290">
        <v>35927758</v>
      </c>
      <c r="Z290">
        <v>36085593</v>
      </c>
      <c r="AA290">
        <f t="shared" si="9"/>
        <v>-259249</v>
      </c>
      <c r="AB290">
        <f t="shared" si="8"/>
        <v>-2.6029951678986052</v>
      </c>
    </row>
    <row r="291" spans="1:28">
      <c r="A291" t="s">
        <v>32</v>
      </c>
      <c r="B291" s="2">
        <v>44835</v>
      </c>
      <c r="C291" s="2">
        <v>44805</v>
      </c>
      <c r="D291" s="2">
        <v>44914</v>
      </c>
      <c r="E291">
        <v>53061836</v>
      </c>
      <c r="F291">
        <v>53199944</v>
      </c>
      <c r="G291">
        <v>138108</v>
      </c>
      <c r="H291">
        <v>65.67</v>
      </c>
      <c r="I291">
        <v>530000</v>
      </c>
      <c r="J291" t="s">
        <v>29</v>
      </c>
      <c r="K291">
        <v>35.880000000000003</v>
      </c>
      <c r="L291">
        <v>36.409999999999997</v>
      </c>
      <c r="M291">
        <v>16438020</v>
      </c>
      <c r="N291">
        <v>16546528</v>
      </c>
      <c r="O291">
        <v>198</v>
      </c>
      <c r="P291">
        <v>198</v>
      </c>
      <c r="Q291">
        <v>16616495</v>
      </c>
      <c r="R291">
        <v>16668651</v>
      </c>
      <c r="S291">
        <v>0</v>
      </c>
      <c r="T291">
        <v>0</v>
      </c>
      <c r="U291">
        <v>0</v>
      </c>
      <c r="V291">
        <v>0</v>
      </c>
      <c r="W291">
        <v>1691594</v>
      </c>
      <c r="X291">
        <v>1691203</v>
      </c>
      <c r="Y291">
        <v>18315529</v>
      </c>
      <c r="Z291">
        <v>18293364</v>
      </c>
      <c r="AA291">
        <f t="shared" si="9"/>
        <v>52156</v>
      </c>
      <c r="AB291">
        <f t="shared" si="8"/>
        <v>0.31388087559981814</v>
      </c>
    </row>
    <row r="292" spans="1:28">
      <c r="A292" t="s">
        <v>33</v>
      </c>
      <c r="B292" s="2">
        <v>44835</v>
      </c>
      <c r="C292" s="2">
        <v>44805</v>
      </c>
      <c r="D292" s="2">
        <v>44914</v>
      </c>
      <c r="E292">
        <v>66599729</v>
      </c>
      <c r="F292">
        <v>66299172</v>
      </c>
      <c r="G292">
        <v>-300557</v>
      </c>
      <c r="H292">
        <v>91.6</v>
      </c>
      <c r="I292">
        <v>850000</v>
      </c>
      <c r="J292" t="s">
        <v>29</v>
      </c>
      <c r="K292">
        <v>50.83</v>
      </c>
      <c r="L292">
        <v>51.68</v>
      </c>
      <c r="M292">
        <v>11252833</v>
      </c>
      <c r="N292">
        <v>11240322</v>
      </c>
      <c r="O292">
        <v>57</v>
      </c>
      <c r="P292">
        <v>57</v>
      </c>
      <c r="Q292">
        <v>23266733</v>
      </c>
      <c r="R292">
        <v>22971933</v>
      </c>
      <c r="S292">
        <v>5293414</v>
      </c>
      <c r="T292">
        <v>5233513</v>
      </c>
      <c r="U292">
        <v>0</v>
      </c>
      <c r="V292">
        <v>0</v>
      </c>
      <c r="W292">
        <v>0</v>
      </c>
      <c r="X292">
        <v>0</v>
      </c>
      <c r="Y292">
        <v>26786692</v>
      </c>
      <c r="Z292">
        <v>26853347</v>
      </c>
      <c r="AA292">
        <f t="shared" si="9"/>
        <v>-294800</v>
      </c>
      <c r="AB292">
        <f t="shared" si="8"/>
        <v>-1.2670450982525137</v>
      </c>
    </row>
    <row r="293" spans="1:28">
      <c r="A293" t="s">
        <v>34</v>
      </c>
      <c r="B293" s="2">
        <v>44835</v>
      </c>
      <c r="C293" s="2">
        <v>44805</v>
      </c>
      <c r="D293" s="2">
        <v>44914</v>
      </c>
      <c r="E293">
        <v>26746029</v>
      </c>
      <c r="F293">
        <v>26709477</v>
      </c>
      <c r="G293">
        <v>-36552</v>
      </c>
      <c r="H293">
        <v>88.45</v>
      </c>
      <c r="I293">
        <v>310000</v>
      </c>
      <c r="J293" t="s">
        <v>29</v>
      </c>
      <c r="K293">
        <v>24.51</v>
      </c>
      <c r="L293">
        <v>24.82</v>
      </c>
      <c r="M293">
        <v>6314298</v>
      </c>
      <c r="N293">
        <v>6385784</v>
      </c>
      <c r="O293">
        <v>13</v>
      </c>
      <c r="P293">
        <v>13</v>
      </c>
      <c r="Q293">
        <v>7729482</v>
      </c>
      <c r="R293">
        <v>7633531</v>
      </c>
      <c r="S293">
        <v>4724280</v>
      </c>
      <c r="T293">
        <v>4709067</v>
      </c>
      <c r="U293">
        <v>0</v>
      </c>
      <c r="V293">
        <v>0</v>
      </c>
      <c r="W293">
        <v>0</v>
      </c>
      <c r="X293">
        <v>0</v>
      </c>
      <c r="Y293">
        <v>7977956</v>
      </c>
      <c r="Z293">
        <v>7981082</v>
      </c>
      <c r="AA293">
        <f t="shared" si="9"/>
        <v>-95951</v>
      </c>
      <c r="AB293">
        <f t="shared" si="8"/>
        <v>-1.2413639102853207</v>
      </c>
    </row>
    <row r="294" spans="1:28">
      <c r="A294" t="s">
        <v>35</v>
      </c>
      <c r="B294" s="2">
        <v>44835</v>
      </c>
      <c r="C294" s="2">
        <v>44805</v>
      </c>
      <c r="D294" s="2">
        <v>44914</v>
      </c>
      <c r="E294">
        <v>9800100</v>
      </c>
      <c r="F294">
        <v>9812132</v>
      </c>
      <c r="G294">
        <v>12032</v>
      </c>
      <c r="H294">
        <v>103.73</v>
      </c>
      <c r="I294">
        <v>40000</v>
      </c>
      <c r="J294" t="s">
        <v>29</v>
      </c>
      <c r="K294">
        <v>3.35</v>
      </c>
      <c r="L294">
        <v>3.39</v>
      </c>
      <c r="M294">
        <v>3368664</v>
      </c>
      <c r="N294">
        <v>3397367</v>
      </c>
      <c r="O294">
        <v>92</v>
      </c>
      <c r="P294">
        <v>92</v>
      </c>
      <c r="Q294">
        <v>521480</v>
      </c>
      <c r="R294">
        <v>510985</v>
      </c>
      <c r="S294">
        <v>2613363</v>
      </c>
      <c r="T294">
        <v>2613635</v>
      </c>
      <c r="U294">
        <v>0</v>
      </c>
      <c r="V294">
        <v>0</v>
      </c>
      <c r="W294">
        <v>0</v>
      </c>
      <c r="X294">
        <v>0</v>
      </c>
      <c r="Y294">
        <v>3296501</v>
      </c>
      <c r="Z294">
        <v>3290053</v>
      </c>
      <c r="AA294">
        <f t="shared" si="9"/>
        <v>-10495</v>
      </c>
      <c r="AB294">
        <f t="shared" si="8"/>
        <v>-2.0125412288103091</v>
      </c>
    </row>
    <row r="295" spans="1:28">
      <c r="A295" t="s">
        <v>36</v>
      </c>
      <c r="B295" s="2">
        <v>44835</v>
      </c>
      <c r="C295" s="2">
        <v>44805</v>
      </c>
      <c r="D295" s="2">
        <v>44914</v>
      </c>
      <c r="E295">
        <v>12067390</v>
      </c>
      <c r="F295">
        <v>12063856</v>
      </c>
      <c r="G295">
        <v>-3534</v>
      </c>
      <c r="H295">
        <v>79.45</v>
      </c>
      <c r="I295">
        <v>30000</v>
      </c>
      <c r="J295" t="s">
        <v>29</v>
      </c>
      <c r="K295">
        <v>1.71</v>
      </c>
      <c r="L295">
        <v>1.74</v>
      </c>
      <c r="M295">
        <v>5870318</v>
      </c>
      <c r="N295">
        <v>5840123</v>
      </c>
      <c r="O295">
        <v>0</v>
      </c>
      <c r="P295">
        <v>0</v>
      </c>
      <c r="Q295">
        <v>414420</v>
      </c>
      <c r="R295">
        <v>408684</v>
      </c>
      <c r="S295">
        <v>832966</v>
      </c>
      <c r="T295">
        <v>833458</v>
      </c>
      <c r="U295">
        <v>0</v>
      </c>
      <c r="V295">
        <v>0</v>
      </c>
      <c r="W295">
        <v>0</v>
      </c>
      <c r="X295">
        <v>0</v>
      </c>
      <c r="Y295">
        <v>4949686</v>
      </c>
      <c r="Z295">
        <v>4981591</v>
      </c>
      <c r="AA295">
        <f t="shared" si="9"/>
        <v>-5736</v>
      </c>
      <c r="AB295">
        <f t="shared" si="8"/>
        <v>-1.3841030838280006</v>
      </c>
    </row>
    <row r="296" spans="1:28">
      <c r="A296" t="s">
        <v>37</v>
      </c>
      <c r="B296" s="2">
        <v>44835</v>
      </c>
      <c r="C296" s="2">
        <v>44805</v>
      </c>
      <c r="D296" s="2">
        <v>44914</v>
      </c>
      <c r="E296">
        <v>65731674</v>
      </c>
      <c r="F296">
        <v>65751415</v>
      </c>
      <c r="G296">
        <v>19741</v>
      </c>
      <c r="H296">
        <v>84.76</v>
      </c>
      <c r="I296">
        <v>630000</v>
      </c>
      <c r="J296" t="s">
        <v>29</v>
      </c>
      <c r="K296">
        <v>56.36</v>
      </c>
      <c r="L296">
        <v>56.99</v>
      </c>
      <c r="M296">
        <v>30920839</v>
      </c>
      <c r="N296">
        <v>30969953</v>
      </c>
      <c r="O296">
        <v>601</v>
      </c>
      <c r="P296">
        <v>601</v>
      </c>
      <c r="Q296">
        <v>7668092</v>
      </c>
      <c r="R296">
        <v>7636633</v>
      </c>
      <c r="S296">
        <v>6576460</v>
      </c>
      <c r="T296">
        <v>6516496</v>
      </c>
      <c r="U296">
        <v>0</v>
      </c>
      <c r="V296">
        <v>0</v>
      </c>
      <c r="W296">
        <v>0</v>
      </c>
      <c r="X296">
        <v>0</v>
      </c>
      <c r="Y296">
        <v>20565682</v>
      </c>
      <c r="Z296">
        <v>20627732</v>
      </c>
      <c r="AA296">
        <f t="shared" si="9"/>
        <v>-31459</v>
      </c>
      <c r="AB296">
        <f t="shared" si="8"/>
        <v>-0.4102585102004514</v>
      </c>
    </row>
    <row r="297" spans="1:28">
      <c r="A297" t="s">
        <v>38</v>
      </c>
      <c r="B297" s="2">
        <v>44835</v>
      </c>
      <c r="C297" s="2">
        <v>44805</v>
      </c>
      <c r="D297" s="2">
        <v>44914</v>
      </c>
      <c r="E297">
        <v>42686704</v>
      </c>
      <c r="F297">
        <v>42483606</v>
      </c>
      <c r="G297">
        <v>-203098</v>
      </c>
      <c r="H297">
        <v>92.55</v>
      </c>
      <c r="I297">
        <v>220000</v>
      </c>
      <c r="J297" t="s">
        <v>29</v>
      </c>
      <c r="K297">
        <v>19.59</v>
      </c>
      <c r="L297">
        <v>19.809999999999999</v>
      </c>
      <c r="M297">
        <v>7821693</v>
      </c>
      <c r="N297">
        <v>7842755</v>
      </c>
      <c r="O297">
        <v>152</v>
      </c>
      <c r="P297">
        <v>152</v>
      </c>
      <c r="Q297">
        <v>14990802</v>
      </c>
      <c r="R297">
        <v>14878749</v>
      </c>
      <c r="S297">
        <v>10115577</v>
      </c>
      <c r="T297">
        <v>10011031</v>
      </c>
      <c r="U297">
        <v>0</v>
      </c>
      <c r="V297">
        <v>0</v>
      </c>
      <c r="W297">
        <v>0</v>
      </c>
      <c r="X297">
        <v>0</v>
      </c>
      <c r="Y297">
        <v>9758480</v>
      </c>
      <c r="Z297">
        <v>9750919</v>
      </c>
      <c r="AA297">
        <f t="shared" si="9"/>
        <v>-112053</v>
      </c>
      <c r="AB297">
        <f t="shared" si="8"/>
        <v>-0.74747835372650506</v>
      </c>
    </row>
    <row r="298" spans="1:28">
      <c r="A298" t="s">
        <v>39</v>
      </c>
      <c r="B298" s="2">
        <v>44835</v>
      </c>
      <c r="C298" s="2">
        <v>44805</v>
      </c>
      <c r="D298" s="2">
        <v>44914</v>
      </c>
      <c r="E298">
        <v>23894523</v>
      </c>
      <c r="F298">
        <v>23865364</v>
      </c>
      <c r="G298">
        <v>-29159</v>
      </c>
      <c r="H298">
        <v>88.09</v>
      </c>
      <c r="I298">
        <v>140000</v>
      </c>
      <c r="J298" t="s">
        <v>29</v>
      </c>
      <c r="K298">
        <v>14.9</v>
      </c>
      <c r="L298">
        <v>15.04</v>
      </c>
      <c r="M298">
        <v>5687241</v>
      </c>
      <c r="N298">
        <v>5688040</v>
      </c>
      <c r="O298">
        <v>0</v>
      </c>
      <c r="P298">
        <v>0</v>
      </c>
      <c r="Q298">
        <v>5993135</v>
      </c>
      <c r="R298">
        <v>5947569</v>
      </c>
      <c r="S298">
        <v>2172368</v>
      </c>
      <c r="T298">
        <v>2150086</v>
      </c>
      <c r="U298">
        <v>0</v>
      </c>
      <c r="V298">
        <v>0</v>
      </c>
      <c r="W298">
        <v>0</v>
      </c>
      <c r="X298">
        <v>0</v>
      </c>
      <c r="Y298">
        <v>10041779</v>
      </c>
      <c r="Z298">
        <v>10079669</v>
      </c>
      <c r="AA298">
        <f t="shared" si="9"/>
        <v>-45566</v>
      </c>
      <c r="AB298">
        <f t="shared" si="8"/>
        <v>-0.76030324696506912</v>
      </c>
    </row>
    <row r="299" spans="1:28">
      <c r="A299" t="s">
        <v>40</v>
      </c>
      <c r="B299" s="2">
        <v>44835</v>
      </c>
      <c r="C299" s="2">
        <v>44805</v>
      </c>
      <c r="D299" s="2">
        <v>44914</v>
      </c>
      <c r="E299">
        <v>76802638</v>
      </c>
      <c r="F299">
        <v>76525601</v>
      </c>
      <c r="G299">
        <v>-277037</v>
      </c>
      <c r="H299">
        <v>84.53</v>
      </c>
      <c r="I299">
        <v>1080000</v>
      </c>
      <c r="J299" t="s">
        <v>29</v>
      </c>
      <c r="K299">
        <v>55.64</v>
      </c>
      <c r="L299">
        <v>56.72</v>
      </c>
      <c r="M299">
        <v>15342537</v>
      </c>
      <c r="N299">
        <v>15289095</v>
      </c>
      <c r="O299">
        <v>0</v>
      </c>
      <c r="P299">
        <v>0</v>
      </c>
      <c r="Q299">
        <v>18318854</v>
      </c>
      <c r="R299">
        <v>17867798</v>
      </c>
      <c r="S299">
        <v>5628013</v>
      </c>
      <c r="T299">
        <v>5542016</v>
      </c>
      <c r="U299">
        <v>0</v>
      </c>
      <c r="V299">
        <v>0</v>
      </c>
      <c r="W299">
        <v>0</v>
      </c>
      <c r="X299">
        <v>0</v>
      </c>
      <c r="Y299">
        <v>37513234</v>
      </c>
      <c r="Z299">
        <v>37826692</v>
      </c>
      <c r="AA299">
        <f t="shared" si="9"/>
        <v>-451056</v>
      </c>
      <c r="AB299">
        <f t="shared" si="8"/>
        <v>-2.4622500949022248</v>
      </c>
    </row>
    <row r="300" spans="1:28">
      <c r="A300" t="s">
        <v>41</v>
      </c>
      <c r="B300" s="2">
        <v>44835</v>
      </c>
      <c r="C300" s="2">
        <v>44805</v>
      </c>
      <c r="D300" s="2">
        <v>44914</v>
      </c>
      <c r="E300">
        <v>91745457</v>
      </c>
      <c r="F300">
        <v>91452280</v>
      </c>
      <c r="G300">
        <v>-293177</v>
      </c>
      <c r="H300">
        <v>88.15</v>
      </c>
      <c r="I300">
        <v>1000000</v>
      </c>
      <c r="J300" t="s">
        <v>29</v>
      </c>
      <c r="K300">
        <v>61.67</v>
      </c>
      <c r="L300">
        <v>62.67</v>
      </c>
      <c r="M300">
        <v>20547335</v>
      </c>
      <c r="N300">
        <v>20649914</v>
      </c>
      <c r="O300">
        <v>0</v>
      </c>
      <c r="P300">
        <v>0</v>
      </c>
      <c r="Q300">
        <v>26351731</v>
      </c>
      <c r="R300">
        <v>25785346</v>
      </c>
      <c r="S300">
        <v>6386783</v>
      </c>
      <c r="T300">
        <v>6411561</v>
      </c>
      <c r="U300">
        <v>0</v>
      </c>
      <c r="V300">
        <v>0</v>
      </c>
      <c r="W300">
        <v>0</v>
      </c>
      <c r="X300">
        <v>0</v>
      </c>
      <c r="Y300">
        <v>38459608</v>
      </c>
      <c r="Z300">
        <v>38605459</v>
      </c>
      <c r="AA300">
        <f t="shared" si="9"/>
        <v>-566385</v>
      </c>
      <c r="AB300">
        <f t="shared" si="8"/>
        <v>-2.1493274957914528</v>
      </c>
    </row>
    <row r="301" spans="1:28">
      <c r="A301" t="s">
        <v>42</v>
      </c>
      <c r="B301" s="2">
        <v>44835</v>
      </c>
      <c r="C301" s="2">
        <v>44805</v>
      </c>
      <c r="D301" s="2">
        <v>44914</v>
      </c>
      <c r="E301">
        <v>33842186</v>
      </c>
      <c r="F301">
        <v>33982226</v>
      </c>
      <c r="G301">
        <v>140040</v>
      </c>
      <c r="H301">
        <v>70.709999999999994</v>
      </c>
      <c r="I301">
        <v>240000</v>
      </c>
      <c r="J301" t="s">
        <v>29</v>
      </c>
      <c r="K301">
        <v>28.52</v>
      </c>
      <c r="L301">
        <v>28.76</v>
      </c>
      <c r="M301">
        <v>9390935</v>
      </c>
      <c r="N301">
        <v>9462952</v>
      </c>
      <c r="O301">
        <v>1197</v>
      </c>
      <c r="P301">
        <v>1197</v>
      </c>
      <c r="Q301">
        <v>11440567</v>
      </c>
      <c r="R301">
        <v>11515155</v>
      </c>
      <c r="S301">
        <v>0</v>
      </c>
      <c r="T301">
        <v>0</v>
      </c>
      <c r="U301">
        <v>0</v>
      </c>
      <c r="V301">
        <v>0</v>
      </c>
      <c r="W301">
        <v>1078159</v>
      </c>
      <c r="X301">
        <v>1074959</v>
      </c>
      <c r="Y301">
        <v>11931328</v>
      </c>
      <c r="Z301">
        <v>11927963</v>
      </c>
      <c r="AA301">
        <f t="shared" si="9"/>
        <v>74588</v>
      </c>
      <c r="AB301">
        <f t="shared" si="8"/>
        <v>0.6519606939061674</v>
      </c>
    </row>
    <row r="302" spans="1:28">
      <c r="A302" t="s">
        <v>43</v>
      </c>
      <c r="B302" s="2">
        <v>44835</v>
      </c>
      <c r="C302" s="2">
        <v>44805</v>
      </c>
      <c r="D302" s="2">
        <v>44914</v>
      </c>
      <c r="E302">
        <v>12129745</v>
      </c>
      <c r="F302">
        <v>12103691</v>
      </c>
      <c r="G302">
        <v>-26054</v>
      </c>
      <c r="H302">
        <v>93.45</v>
      </c>
      <c r="I302">
        <v>20000</v>
      </c>
      <c r="J302" t="s">
        <v>29</v>
      </c>
      <c r="K302">
        <v>1.83</v>
      </c>
      <c r="L302">
        <v>1.85</v>
      </c>
      <c r="M302">
        <v>5780529</v>
      </c>
      <c r="N302">
        <v>5798015</v>
      </c>
      <c r="O302">
        <v>0</v>
      </c>
      <c r="P302">
        <v>0</v>
      </c>
      <c r="Q302">
        <v>1023214</v>
      </c>
      <c r="R302">
        <v>1004679</v>
      </c>
      <c r="S302">
        <v>1389461</v>
      </c>
      <c r="T302">
        <v>1385412</v>
      </c>
      <c r="U302">
        <v>0</v>
      </c>
      <c r="V302">
        <v>0</v>
      </c>
      <c r="W302">
        <v>0</v>
      </c>
      <c r="X302">
        <v>0</v>
      </c>
      <c r="Y302">
        <v>3936541</v>
      </c>
      <c r="Z302">
        <v>3915585</v>
      </c>
      <c r="AA302">
        <f t="shared" si="9"/>
        <v>-18535</v>
      </c>
      <c r="AB302">
        <f t="shared" si="8"/>
        <v>-1.8114490223941424</v>
      </c>
    </row>
    <row r="303" spans="1:28">
      <c r="A303" t="s">
        <v>44</v>
      </c>
      <c r="B303" s="2">
        <v>44835</v>
      </c>
      <c r="C303" s="2">
        <v>44805</v>
      </c>
      <c r="D303" s="2">
        <v>44914</v>
      </c>
      <c r="E303">
        <v>33069984</v>
      </c>
      <c r="F303">
        <v>33137270</v>
      </c>
      <c r="G303">
        <v>67286</v>
      </c>
      <c r="H303">
        <v>94.61</v>
      </c>
      <c r="I303">
        <v>160000</v>
      </c>
      <c r="J303" t="s">
        <v>29</v>
      </c>
      <c r="K303">
        <v>14.02</v>
      </c>
      <c r="L303">
        <v>14.18</v>
      </c>
      <c r="M303">
        <v>11302188</v>
      </c>
      <c r="N303">
        <v>11360062</v>
      </c>
      <c r="O303">
        <v>32</v>
      </c>
      <c r="P303">
        <v>32</v>
      </c>
      <c r="Q303">
        <v>1677824</v>
      </c>
      <c r="R303">
        <v>1645826</v>
      </c>
      <c r="S303">
        <v>6330453</v>
      </c>
      <c r="T303">
        <v>6320827</v>
      </c>
      <c r="U303">
        <v>0</v>
      </c>
      <c r="V303">
        <v>0</v>
      </c>
      <c r="W303">
        <v>0</v>
      </c>
      <c r="X303">
        <v>0</v>
      </c>
      <c r="Y303">
        <v>13759487</v>
      </c>
      <c r="Z303">
        <v>13810523</v>
      </c>
      <c r="AA303">
        <f t="shared" si="9"/>
        <v>-31998</v>
      </c>
      <c r="AB303">
        <f t="shared" si="8"/>
        <v>-1.9071130225816295</v>
      </c>
    </row>
    <row r="304" spans="1:28">
      <c r="A304" t="s">
        <v>45</v>
      </c>
      <c r="B304" s="2">
        <v>44835</v>
      </c>
      <c r="C304" s="2">
        <v>44805</v>
      </c>
      <c r="D304" s="2">
        <v>44914</v>
      </c>
      <c r="E304">
        <v>35821147</v>
      </c>
      <c r="F304">
        <v>35884794</v>
      </c>
      <c r="G304">
        <v>63647</v>
      </c>
      <c r="H304">
        <v>89.14</v>
      </c>
      <c r="I304">
        <v>300000</v>
      </c>
      <c r="J304" t="s">
        <v>29</v>
      </c>
      <c r="K304">
        <v>26.87</v>
      </c>
      <c r="L304">
        <v>27.17</v>
      </c>
      <c r="M304">
        <v>12053572</v>
      </c>
      <c r="N304">
        <v>12105740</v>
      </c>
      <c r="O304">
        <v>113</v>
      </c>
      <c r="P304">
        <v>113</v>
      </c>
      <c r="Q304">
        <v>7640310</v>
      </c>
      <c r="R304">
        <v>7544015</v>
      </c>
      <c r="S304">
        <v>5054814</v>
      </c>
      <c r="T304">
        <v>5051223</v>
      </c>
      <c r="U304">
        <v>0</v>
      </c>
      <c r="V304">
        <v>0</v>
      </c>
      <c r="W304">
        <v>0</v>
      </c>
      <c r="X304">
        <v>0</v>
      </c>
      <c r="Y304">
        <v>11072338</v>
      </c>
      <c r="Z304">
        <v>11183703</v>
      </c>
      <c r="AA304">
        <f t="shared" si="9"/>
        <v>-96295</v>
      </c>
      <c r="AB304">
        <f t="shared" si="8"/>
        <v>-1.2603546191188577</v>
      </c>
    </row>
    <row r="305" spans="1:28">
      <c r="A305" t="s">
        <v>46</v>
      </c>
      <c r="B305" s="2">
        <v>44835</v>
      </c>
      <c r="C305" s="2">
        <v>44805</v>
      </c>
      <c r="D305" s="2">
        <v>44914</v>
      </c>
      <c r="E305">
        <v>63338558</v>
      </c>
      <c r="F305">
        <v>63057291</v>
      </c>
      <c r="G305">
        <v>-281267</v>
      </c>
      <c r="H305">
        <v>93.38</v>
      </c>
      <c r="I305">
        <v>740000</v>
      </c>
      <c r="J305" t="s">
        <v>29</v>
      </c>
      <c r="K305">
        <v>53.33</v>
      </c>
      <c r="L305">
        <v>54.07</v>
      </c>
      <c r="M305">
        <v>22111587</v>
      </c>
      <c r="N305">
        <v>21978942</v>
      </c>
      <c r="O305">
        <v>161</v>
      </c>
      <c r="P305">
        <v>161</v>
      </c>
      <c r="Q305">
        <v>10609215</v>
      </c>
      <c r="R305">
        <v>10400783</v>
      </c>
      <c r="S305">
        <v>6390012</v>
      </c>
      <c r="T305">
        <v>6378687</v>
      </c>
      <c r="U305">
        <v>0</v>
      </c>
      <c r="V305">
        <v>0</v>
      </c>
      <c r="W305">
        <v>0</v>
      </c>
      <c r="X305">
        <v>0</v>
      </c>
      <c r="Y305">
        <v>24227583</v>
      </c>
      <c r="Z305">
        <v>24298718</v>
      </c>
      <c r="AA305">
        <f t="shared" si="9"/>
        <v>-208432</v>
      </c>
      <c r="AB305">
        <f t="shared" si="8"/>
        <v>-1.9646316904690875</v>
      </c>
    </row>
    <row r="306" spans="1:28">
      <c r="A306" t="s">
        <v>47</v>
      </c>
      <c r="B306" s="2">
        <v>44835</v>
      </c>
      <c r="C306" s="2">
        <v>44805</v>
      </c>
      <c r="D306" s="2">
        <v>44914</v>
      </c>
      <c r="E306">
        <v>77946654</v>
      </c>
      <c r="F306">
        <v>77916299</v>
      </c>
      <c r="G306">
        <v>-30355</v>
      </c>
      <c r="H306">
        <v>93.02</v>
      </c>
      <c r="I306">
        <v>490000</v>
      </c>
      <c r="J306" t="s">
        <v>29</v>
      </c>
      <c r="K306">
        <v>52.13</v>
      </c>
      <c r="L306">
        <v>52.62</v>
      </c>
      <c r="M306">
        <v>27160209</v>
      </c>
      <c r="N306">
        <v>27255080</v>
      </c>
      <c r="O306">
        <v>272</v>
      </c>
      <c r="P306">
        <v>271</v>
      </c>
      <c r="Q306">
        <v>17445195</v>
      </c>
      <c r="R306">
        <v>17221976</v>
      </c>
      <c r="S306">
        <v>9532053</v>
      </c>
      <c r="T306">
        <v>9537386</v>
      </c>
      <c r="U306">
        <v>73001</v>
      </c>
      <c r="V306">
        <v>146396</v>
      </c>
      <c r="W306">
        <v>0</v>
      </c>
      <c r="X306">
        <v>0</v>
      </c>
      <c r="Y306">
        <v>23735924</v>
      </c>
      <c r="Z306">
        <v>23755190</v>
      </c>
      <c r="AA306">
        <f t="shared" si="9"/>
        <v>-223219</v>
      </c>
      <c r="AB306">
        <f t="shared" si="8"/>
        <v>-1.2795443100521375</v>
      </c>
    </row>
    <row r="307" spans="1:28">
      <c r="A307" t="s">
        <v>48</v>
      </c>
      <c r="B307" s="2">
        <v>44835</v>
      </c>
      <c r="C307" s="2">
        <v>44805</v>
      </c>
      <c r="D307" s="2">
        <v>44914</v>
      </c>
      <c r="E307">
        <v>100756437</v>
      </c>
      <c r="F307">
        <v>100380183</v>
      </c>
      <c r="G307">
        <v>-376254</v>
      </c>
      <c r="H307">
        <v>86.05</v>
      </c>
      <c r="I307">
        <v>1700000</v>
      </c>
      <c r="J307" t="s">
        <v>29</v>
      </c>
      <c r="K307">
        <v>60.95</v>
      </c>
      <c r="L307">
        <v>62.65</v>
      </c>
      <c r="M307">
        <v>36164407</v>
      </c>
      <c r="N307">
        <v>36158120</v>
      </c>
      <c r="O307">
        <v>0</v>
      </c>
      <c r="P307">
        <v>0</v>
      </c>
      <c r="Q307">
        <v>19609019</v>
      </c>
      <c r="R307">
        <v>19331519</v>
      </c>
      <c r="S307">
        <v>10371737</v>
      </c>
      <c r="T307">
        <v>10147502</v>
      </c>
      <c r="U307">
        <v>0</v>
      </c>
      <c r="V307">
        <v>0</v>
      </c>
      <c r="W307">
        <v>0</v>
      </c>
      <c r="X307">
        <v>0</v>
      </c>
      <c r="Y307">
        <v>34611274</v>
      </c>
      <c r="Z307">
        <v>34743042</v>
      </c>
      <c r="AA307">
        <f t="shared" si="9"/>
        <v>-277500</v>
      </c>
      <c r="AB307">
        <f t="shared" si="8"/>
        <v>-1.4151651339620814</v>
      </c>
    </row>
    <row r="308" spans="1:28">
      <c r="A308" t="s">
        <v>49</v>
      </c>
      <c r="B308" s="2">
        <v>44835</v>
      </c>
      <c r="C308" s="2">
        <v>44805</v>
      </c>
      <c r="D308" s="2">
        <v>44914</v>
      </c>
      <c r="E308">
        <v>64225205</v>
      </c>
      <c r="F308">
        <v>63922454</v>
      </c>
      <c r="G308">
        <v>-302751</v>
      </c>
      <c r="H308">
        <v>85.72</v>
      </c>
      <c r="I308">
        <v>1210000</v>
      </c>
      <c r="J308" t="s">
        <v>29</v>
      </c>
      <c r="K308">
        <v>47.7</v>
      </c>
      <c r="L308">
        <v>48.91</v>
      </c>
      <c r="M308">
        <v>18692418</v>
      </c>
      <c r="N308">
        <v>18635968</v>
      </c>
      <c r="O308">
        <v>8</v>
      </c>
      <c r="P308">
        <v>8</v>
      </c>
      <c r="Q308">
        <v>17878479</v>
      </c>
      <c r="R308">
        <v>17532134</v>
      </c>
      <c r="S308">
        <v>5709997</v>
      </c>
      <c r="T308">
        <v>5648600</v>
      </c>
      <c r="U308">
        <v>0</v>
      </c>
      <c r="V308">
        <v>0</v>
      </c>
      <c r="W308">
        <v>0</v>
      </c>
      <c r="X308">
        <v>0</v>
      </c>
      <c r="Y308">
        <v>21944303</v>
      </c>
      <c r="Z308">
        <v>22105744</v>
      </c>
      <c r="AA308">
        <f t="shared" si="9"/>
        <v>-346345</v>
      </c>
      <c r="AB308">
        <f t="shared" si="8"/>
        <v>-1.9372173661976502</v>
      </c>
    </row>
    <row r="309" spans="1:28">
      <c r="A309" t="s">
        <v>50</v>
      </c>
      <c r="B309" s="2">
        <v>44835</v>
      </c>
      <c r="C309" s="2">
        <v>44805</v>
      </c>
      <c r="D309" s="2">
        <v>44914</v>
      </c>
      <c r="E309">
        <v>57125294</v>
      </c>
      <c r="F309">
        <v>56879621</v>
      </c>
      <c r="G309">
        <v>-245673</v>
      </c>
      <c r="H309">
        <v>86.67</v>
      </c>
      <c r="I309">
        <v>680000</v>
      </c>
      <c r="J309" t="s">
        <v>29</v>
      </c>
      <c r="K309">
        <v>39.99</v>
      </c>
      <c r="L309">
        <v>40.67</v>
      </c>
      <c r="M309">
        <v>16421417</v>
      </c>
      <c r="N309">
        <v>16492148</v>
      </c>
      <c r="O309">
        <v>157</v>
      </c>
      <c r="P309">
        <v>157</v>
      </c>
      <c r="Q309">
        <v>15221878</v>
      </c>
      <c r="R309">
        <v>14912584</v>
      </c>
      <c r="S309">
        <v>2379097</v>
      </c>
      <c r="T309">
        <v>2389825</v>
      </c>
      <c r="U309">
        <v>0</v>
      </c>
      <c r="V309">
        <v>0</v>
      </c>
      <c r="W309">
        <v>0</v>
      </c>
      <c r="X309">
        <v>0</v>
      </c>
      <c r="Y309">
        <v>23102745</v>
      </c>
      <c r="Z309">
        <v>23084907</v>
      </c>
      <c r="AA309">
        <f t="shared" si="9"/>
        <v>-309294</v>
      </c>
      <c r="AB309">
        <f t="shared" si="8"/>
        <v>-2.031904341895264</v>
      </c>
    </row>
    <row r="310" spans="1:28">
      <c r="A310" t="s">
        <v>28</v>
      </c>
      <c r="B310" s="2">
        <v>44866</v>
      </c>
      <c r="C310" s="2">
        <v>44835</v>
      </c>
      <c r="D310" s="2">
        <v>44953</v>
      </c>
      <c r="E310">
        <v>82655053</v>
      </c>
      <c r="F310">
        <v>82329823</v>
      </c>
      <c r="G310">
        <v>-325230</v>
      </c>
      <c r="H310">
        <v>92.42</v>
      </c>
      <c r="I310">
        <v>620000</v>
      </c>
      <c r="J310" t="s">
        <v>29</v>
      </c>
      <c r="K310">
        <v>55.11</v>
      </c>
      <c r="L310">
        <v>55.73</v>
      </c>
      <c r="M310">
        <v>31881272</v>
      </c>
      <c r="N310">
        <v>31986320</v>
      </c>
      <c r="O310">
        <v>0</v>
      </c>
      <c r="P310">
        <v>0</v>
      </c>
      <c r="Q310">
        <v>12300968</v>
      </c>
      <c r="R310">
        <v>12189800</v>
      </c>
      <c r="S310">
        <v>8781567</v>
      </c>
      <c r="T310">
        <v>8294784</v>
      </c>
      <c r="U310">
        <v>0</v>
      </c>
      <c r="V310">
        <v>0</v>
      </c>
      <c r="W310">
        <v>0</v>
      </c>
      <c r="X310">
        <v>0</v>
      </c>
      <c r="Y310">
        <v>29691246</v>
      </c>
      <c r="Z310">
        <v>29858919</v>
      </c>
      <c r="AA310">
        <f t="shared" si="9"/>
        <v>-111168</v>
      </c>
      <c r="AB310">
        <f t="shared" si="8"/>
        <v>-0.90373375493700991</v>
      </c>
    </row>
    <row r="311" spans="1:28">
      <c r="A311" t="s">
        <v>30</v>
      </c>
      <c r="B311" s="2">
        <v>44866</v>
      </c>
      <c r="C311" s="2">
        <v>44835</v>
      </c>
      <c r="D311" s="2">
        <v>44953</v>
      </c>
      <c r="E311">
        <v>24530976</v>
      </c>
      <c r="F311">
        <v>24585121</v>
      </c>
      <c r="G311">
        <v>54145</v>
      </c>
      <c r="H311">
        <v>90.53</v>
      </c>
      <c r="I311">
        <v>80000</v>
      </c>
      <c r="J311" t="s">
        <v>29</v>
      </c>
      <c r="K311">
        <v>5.43</v>
      </c>
      <c r="L311">
        <v>5.51</v>
      </c>
      <c r="M311">
        <v>10502842</v>
      </c>
      <c r="N311">
        <v>10574415</v>
      </c>
      <c r="O311">
        <v>0</v>
      </c>
      <c r="P311">
        <v>0</v>
      </c>
      <c r="Q311">
        <v>2203229</v>
      </c>
      <c r="R311">
        <v>2169994</v>
      </c>
      <c r="S311">
        <v>3336449</v>
      </c>
      <c r="T311">
        <v>3297907</v>
      </c>
      <c r="U311">
        <v>0</v>
      </c>
      <c r="V311">
        <v>0</v>
      </c>
      <c r="W311">
        <v>0</v>
      </c>
      <c r="X311">
        <v>0</v>
      </c>
      <c r="Y311">
        <v>8488456</v>
      </c>
      <c r="Z311">
        <v>8542805</v>
      </c>
      <c r="AA311">
        <f t="shared" si="9"/>
        <v>-33235</v>
      </c>
      <c r="AB311">
        <f t="shared" si="8"/>
        <v>-1.5084677988534101</v>
      </c>
    </row>
    <row r="312" spans="1:28">
      <c r="A312" t="s">
        <v>31</v>
      </c>
      <c r="B312" s="2">
        <v>44866</v>
      </c>
      <c r="C312" s="2">
        <v>44835</v>
      </c>
      <c r="D312" s="2">
        <v>44953</v>
      </c>
      <c r="E312">
        <v>91020987</v>
      </c>
      <c r="F312">
        <v>91220765</v>
      </c>
      <c r="G312">
        <v>199778</v>
      </c>
      <c r="H312">
        <v>80.099999999999994</v>
      </c>
      <c r="I312">
        <v>770000</v>
      </c>
      <c r="J312" t="s">
        <v>29</v>
      </c>
      <c r="K312">
        <v>39.21</v>
      </c>
      <c r="L312">
        <v>39.979999999999997</v>
      </c>
      <c r="M312">
        <v>39544824</v>
      </c>
      <c r="N312">
        <v>39646114</v>
      </c>
      <c r="O312">
        <v>0</v>
      </c>
      <c r="P312">
        <v>0</v>
      </c>
      <c r="Q312">
        <v>9700393</v>
      </c>
      <c r="R312">
        <v>9533826</v>
      </c>
      <c r="S312">
        <v>5690177</v>
      </c>
      <c r="T312">
        <v>5730724</v>
      </c>
      <c r="U312">
        <v>0</v>
      </c>
      <c r="V312">
        <v>0</v>
      </c>
      <c r="W312">
        <v>0</v>
      </c>
      <c r="X312">
        <v>0</v>
      </c>
      <c r="Y312">
        <v>36085593</v>
      </c>
      <c r="Z312">
        <v>36310101</v>
      </c>
      <c r="AA312">
        <f t="shared" si="9"/>
        <v>-166567</v>
      </c>
      <c r="AB312">
        <f t="shared" si="8"/>
        <v>-1.7171159972590802</v>
      </c>
    </row>
    <row r="313" spans="1:28">
      <c r="A313" t="s">
        <v>32</v>
      </c>
      <c r="B313" s="2">
        <v>44866</v>
      </c>
      <c r="C313" s="2">
        <v>44835</v>
      </c>
      <c r="D313" s="2">
        <v>44953</v>
      </c>
      <c r="E313">
        <v>53199944</v>
      </c>
      <c r="F313">
        <v>53472789</v>
      </c>
      <c r="G313">
        <v>272845</v>
      </c>
      <c r="H313">
        <v>63.57</v>
      </c>
      <c r="I313">
        <v>580000</v>
      </c>
      <c r="J313" t="s">
        <v>29</v>
      </c>
      <c r="K313">
        <v>36.409999999999997</v>
      </c>
      <c r="L313">
        <v>36.99</v>
      </c>
      <c r="M313">
        <v>16546528</v>
      </c>
      <c r="N313">
        <v>16689920</v>
      </c>
      <c r="O313">
        <v>198</v>
      </c>
      <c r="P313">
        <v>197</v>
      </c>
      <c r="Q313">
        <v>16668651</v>
      </c>
      <c r="R313">
        <v>16773385</v>
      </c>
      <c r="S313">
        <v>0</v>
      </c>
      <c r="T313">
        <v>0</v>
      </c>
      <c r="U313">
        <v>0</v>
      </c>
      <c r="V313">
        <v>0</v>
      </c>
      <c r="W313">
        <v>1691203</v>
      </c>
      <c r="X313">
        <v>1690857</v>
      </c>
      <c r="Y313">
        <v>18293364</v>
      </c>
      <c r="Z313">
        <v>18318430</v>
      </c>
      <c r="AA313">
        <f t="shared" si="9"/>
        <v>104734</v>
      </c>
      <c r="AB313">
        <f t="shared" si="8"/>
        <v>0.62832919112650454</v>
      </c>
    </row>
    <row r="314" spans="1:28">
      <c r="A314" t="s">
        <v>33</v>
      </c>
      <c r="B314" s="2">
        <v>44866</v>
      </c>
      <c r="C314" s="2">
        <v>44835</v>
      </c>
      <c r="D314" s="2">
        <v>44953</v>
      </c>
      <c r="E314">
        <v>66299172</v>
      </c>
      <c r="F314">
        <v>66255654</v>
      </c>
      <c r="G314">
        <v>-43518</v>
      </c>
      <c r="H314">
        <v>91.46</v>
      </c>
      <c r="I314">
        <v>820000</v>
      </c>
      <c r="J314" t="s">
        <v>29</v>
      </c>
      <c r="K314">
        <v>51.68</v>
      </c>
      <c r="L314">
        <v>52.5</v>
      </c>
      <c r="M314">
        <v>11240322</v>
      </c>
      <c r="N314">
        <v>11286317</v>
      </c>
      <c r="O314">
        <v>57</v>
      </c>
      <c r="P314">
        <v>56</v>
      </c>
      <c r="Q314">
        <v>22971933</v>
      </c>
      <c r="R314">
        <v>22802688</v>
      </c>
      <c r="S314">
        <v>5233513</v>
      </c>
      <c r="T314">
        <v>5186621</v>
      </c>
      <c r="U314">
        <v>0</v>
      </c>
      <c r="V314">
        <v>0</v>
      </c>
      <c r="W314">
        <v>0</v>
      </c>
      <c r="X314">
        <v>0</v>
      </c>
      <c r="Y314">
        <v>26853347</v>
      </c>
      <c r="Z314">
        <v>26979972</v>
      </c>
      <c r="AA314">
        <f t="shared" si="9"/>
        <v>-169245</v>
      </c>
      <c r="AB314">
        <f t="shared" si="8"/>
        <v>-0.73674688150971013</v>
      </c>
    </row>
    <row r="315" spans="1:28">
      <c r="A315" t="s">
        <v>34</v>
      </c>
      <c r="B315" s="2">
        <v>44866</v>
      </c>
      <c r="C315" s="2">
        <v>44835</v>
      </c>
      <c r="D315" s="2">
        <v>44953</v>
      </c>
      <c r="E315">
        <v>26709477</v>
      </c>
      <c r="F315">
        <v>26755022</v>
      </c>
      <c r="G315">
        <v>45545</v>
      </c>
      <c r="H315">
        <v>88.04</v>
      </c>
      <c r="I315">
        <v>300000</v>
      </c>
      <c r="J315" t="s">
        <v>29</v>
      </c>
      <c r="K315">
        <v>24.82</v>
      </c>
      <c r="L315">
        <v>25.12</v>
      </c>
      <c r="M315">
        <v>6385784</v>
      </c>
      <c r="N315">
        <v>6459040</v>
      </c>
      <c r="O315">
        <v>13</v>
      </c>
      <c r="P315">
        <v>12</v>
      </c>
      <c r="Q315">
        <v>7633531</v>
      </c>
      <c r="R315">
        <v>7567239</v>
      </c>
      <c r="S315">
        <v>4709067</v>
      </c>
      <c r="T315">
        <v>4702058</v>
      </c>
      <c r="U315">
        <v>0</v>
      </c>
      <c r="V315">
        <v>0</v>
      </c>
      <c r="W315">
        <v>0</v>
      </c>
      <c r="X315">
        <v>0</v>
      </c>
      <c r="Y315">
        <v>7981082</v>
      </c>
      <c r="Z315">
        <v>8026673</v>
      </c>
      <c r="AA315">
        <f t="shared" si="9"/>
        <v>-66292</v>
      </c>
      <c r="AB315">
        <f t="shared" si="8"/>
        <v>-0.86843166026312058</v>
      </c>
    </row>
    <row r="316" spans="1:28">
      <c r="A316" t="s">
        <v>35</v>
      </c>
      <c r="B316" s="2">
        <v>44866</v>
      </c>
      <c r="C316" s="2">
        <v>44835</v>
      </c>
      <c r="D316" s="2">
        <v>44953</v>
      </c>
      <c r="E316">
        <v>9812132</v>
      </c>
      <c r="F316">
        <v>9769221</v>
      </c>
      <c r="G316">
        <v>-42911</v>
      </c>
      <c r="H316">
        <v>98.34</v>
      </c>
      <c r="I316">
        <v>40000</v>
      </c>
      <c r="J316" t="s">
        <v>29</v>
      </c>
      <c r="K316">
        <v>3.39</v>
      </c>
      <c r="L316">
        <v>3.43</v>
      </c>
      <c r="M316">
        <v>3397367</v>
      </c>
      <c r="N316">
        <v>3408687</v>
      </c>
      <c r="O316">
        <v>92</v>
      </c>
      <c r="P316">
        <v>92</v>
      </c>
      <c r="Q316">
        <v>510985</v>
      </c>
      <c r="R316">
        <v>505671</v>
      </c>
      <c r="S316">
        <v>2613635</v>
      </c>
      <c r="T316">
        <v>2526660</v>
      </c>
      <c r="U316">
        <v>0</v>
      </c>
      <c r="V316">
        <v>0</v>
      </c>
      <c r="W316">
        <v>0</v>
      </c>
      <c r="X316">
        <v>0</v>
      </c>
      <c r="Y316">
        <v>3290053</v>
      </c>
      <c r="Z316">
        <v>3328111</v>
      </c>
      <c r="AA316">
        <f t="shared" si="9"/>
        <v>-5314</v>
      </c>
      <c r="AB316">
        <f t="shared" si="8"/>
        <v>-1.0399522490875466</v>
      </c>
    </row>
    <row r="317" spans="1:28">
      <c r="A317" t="s">
        <v>36</v>
      </c>
      <c r="B317" s="2">
        <v>44866</v>
      </c>
      <c r="C317" s="2">
        <v>44835</v>
      </c>
      <c r="D317" s="2">
        <v>44953</v>
      </c>
      <c r="E317">
        <v>12063856</v>
      </c>
      <c r="F317">
        <v>12057578</v>
      </c>
      <c r="G317">
        <v>-6278</v>
      </c>
      <c r="H317">
        <v>79.48</v>
      </c>
      <c r="I317">
        <v>30000</v>
      </c>
      <c r="J317" t="s">
        <v>29</v>
      </c>
      <c r="K317">
        <v>1.74</v>
      </c>
      <c r="L317">
        <v>1.77</v>
      </c>
      <c r="M317">
        <v>5840123</v>
      </c>
      <c r="N317">
        <v>5819809</v>
      </c>
      <c r="O317">
        <v>0</v>
      </c>
      <c r="P317">
        <v>0</v>
      </c>
      <c r="Q317">
        <v>408684</v>
      </c>
      <c r="R317">
        <v>399193</v>
      </c>
      <c r="S317">
        <v>833458</v>
      </c>
      <c r="T317">
        <v>832052</v>
      </c>
      <c r="U317">
        <v>0</v>
      </c>
      <c r="V317">
        <v>0</v>
      </c>
      <c r="W317">
        <v>0</v>
      </c>
      <c r="X317">
        <v>0</v>
      </c>
      <c r="Y317">
        <v>4981591</v>
      </c>
      <c r="Z317">
        <v>5006524</v>
      </c>
      <c r="AA317">
        <f t="shared" si="9"/>
        <v>-9491</v>
      </c>
      <c r="AB317">
        <f t="shared" si="8"/>
        <v>-2.3223321686192753</v>
      </c>
    </row>
    <row r="318" spans="1:28">
      <c r="A318" t="s">
        <v>37</v>
      </c>
      <c r="B318" s="2">
        <v>44866</v>
      </c>
      <c r="C318" s="2">
        <v>44835</v>
      </c>
      <c r="D318" s="2">
        <v>44953</v>
      </c>
      <c r="E318">
        <v>65751415</v>
      </c>
      <c r="F318">
        <v>66267612</v>
      </c>
      <c r="G318">
        <v>516197</v>
      </c>
      <c r="H318">
        <v>83.71</v>
      </c>
      <c r="I318">
        <v>600000</v>
      </c>
      <c r="J318" t="s">
        <v>29</v>
      </c>
      <c r="K318">
        <v>56.99</v>
      </c>
      <c r="L318">
        <v>57.59</v>
      </c>
      <c r="M318">
        <v>30969953</v>
      </c>
      <c r="N318">
        <v>31070659</v>
      </c>
      <c r="O318">
        <v>601</v>
      </c>
      <c r="P318">
        <v>596</v>
      </c>
      <c r="Q318">
        <v>7636633</v>
      </c>
      <c r="R318">
        <v>7748135</v>
      </c>
      <c r="S318">
        <v>6516496</v>
      </c>
      <c r="T318">
        <v>6514593</v>
      </c>
      <c r="U318">
        <v>0</v>
      </c>
      <c r="V318">
        <v>0</v>
      </c>
      <c r="W318">
        <v>0</v>
      </c>
      <c r="X318">
        <v>0</v>
      </c>
      <c r="Y318">
        <v>20627732</v>
      </c>
      <c r="Z318">
        <v>20933629</v>
      </c>
      <c r="AA318">
        <f t="shared" si="9"/>
        <v>111502</v>
      </c>
      <c r="AB318">
        <f t="shared" si="8"/>
        <v>1.4600937350269418</v>
      </c>
    </row>
    <row r="319" spans="1:28">
      <c r="A319" t="s">
        <v>38</v>
      </c>
      <c r="B319" s="2">
        <v>44866</v>
      </c>
      <c r="C319" s="2">
        <v>44835</v>
      </c>
      <c r="D319" s="2">
        <v>44953</v>
      </c>
      <c r="E319">
        <v>42483606</v>
      </c>
      <c r="F319">
        <v>42531895</v>
      </c>
      <c r="G319">
        <v>48289</v>
      </c>
      <c r="H319">
        <v>92.59</v>
      </c>
      <c r="I319">
        <v>220000</v>
      </c>
      <c r="J319" t="s">
        <v>29</v>
      </c>
      <c r="K319">
        <v>19.809999999999999</v>
      </c>
      <c r="L319">
        <v>20.03</v>
      </c>
      <c r="M319">
        <v>7842755</v>
      </c>
      <c r="N319">
        <v>7902200</v>
      </c>
      <c r="O319">
        <v>152</v>
      </c>
      <c r="P319">
        <v>127</v>
      </c>
      <c r="Q319">
        <v>14878749</v>
      </c>
      <c r="R319">
        <v>14775767</v>
      </c>
      <c r="S319">
        <v>10011031</v>
      </c>
      <c r="T319">
        <v>9980393</v>
      </c>
      <c r="U319">
        <v>0</v>
      </c>
      <c r="V319">
        <v>0</v>
      </c>
      <c r="W319">
        <v>0</v>
      </c>
      <c r="X319">
        <v>0</v>
      </c>
      <c r="Y319">
        <v>9750919</v>
      </c>
      <c r="Z319">
        <v>9873408</v>
      </c>
      <c r="AA319">
        <f t="shared" si="9"/>
        <v>-102982</v>
      </c>
      <c r="AB319">
        <f t="shared" si="8"/>
        <v>-0.69214152345738211</v>
      </c>
    </row>
    <row r="320" spans="1:28">
      <c r="A320" t="s">
        <v>39</v>
      </c>
      <c r="B320" s="2">
        <v>44866</v>
      </c>
      <c r="C320" s="2">
        <v>44835</v>
      </c>
      <c r="D320" s="2">
        <v>44953</v>
      </c>
      <c r="E320">
        <v>23865364</v>
      </c>
      <c r="F320">
        <v>23941997</v>
      </c>
      <c r="G320">
        <v>76633</v>
      </c>
      <c r="H320">
        <v>88.07</v>
      </c>
      <c r="I320">
        <v>160000</v>
      </c>
      <c r="J320" t="s">
        <v>29</v>
      </c>
      <c r="K320">
        <v>15.04</v>
      </c>
      <c r="L320">
        <v>15.2</v>
      </c>
      <c r="M320">
        <v>5688040</v>
      </c>
      <c r="N320">
        <v>5698150</v>
      </c>
      <c r="O320">
        <v>0</v>
      </c>
      <c r="P320">
        <v>0</v>
      </c>
      <c r="Q320">
        <v>5947569</v>
      </c>
      <c r="R320">
        <v>5929730</v>
      </c>
      <c r="S320">
        <v>2150086</v>
      </c>
      <c r="T320">
        <v>2158282</v>
      </c>
      <c r="U320">
        <v>0</v>
      </c>
      <c r="V320">
        <v>0</v>
      </c>
      <c r="W320">
        <v>0</v>
      </c>
      <c r="X320">
        <v>0</v>
      </c>
      <c r="Y320">
        <v>10079669</v>
      </c>
      <c r="Z320">
        <v>10155835</v>
      </c>
      <c r="AA320">
        <f t="shared" si="9"/>
        <v>-17839</v>
      </c>
      <c r="AB320">
        <f t="shared" si="8"/>
        <v>-0.29993767201355714</v>
      </c>
    </row>
    <row r="321" spans="1:28">
      <c r="A321" t="s">
        <v>40</v>
      </c>
      <c r="B321" s="2">
        <v>44866</v>
      </c>
      <c r="C321" s="2">
        <v>44835</v>
      </c>
      <c r="D321" s="2">
        <v>44953</v>
      </c>
      <c r="E321">
        <v>76525601</v>
      </c>
      <c r="F321">
        <v>76175008</v>
      </c>
      <c r="G321">
        <v>-350593</v>
      </c>
      <c r="H321">
        <v>85.54</v>
      </c>
      <c r="I321">
        <v>1080000</v>
      </c>
      <c r="J321" t="s">
        <v>29</v>
      </c>
      <c r="K321">
        <v>56.72</v>
      </c>
      <c r="L321">
        <v>57.8</v>
      </c>
      <c r="M321">
        <v>15289095</v>
      </c>
      <c r="N321">
        <v>15219958</v>
      </c>
      <c r="O321">
        <v>0</v>
      </c>
      <c r="P321">
        <v>0</v>
      </c>
      <c r="Q321">
        <v>17867798</v>
      </c>
      <c r="R321">
        <v>17630923</v>
      </c>
      <c r="S321">
        <v>5542016</v>
      </c>
      <c r="T321">
        <v>5504944</v>
      </c>
      <c r="U321">
        <v>0</v>
      </c>
      <c r="V321">
        <v>0</v>
      </c>
      <c r="W321">
        <v>0</v>
      </c>
      <c r="X321">
        <v>0</v>
      </c>
      <c r="Y321">
        <v>37826692</v>
      </c>
      <c r="Z321">
        <v>37819183</v>
      </c>
      <c r="AA321">
        <f t="shared" si="9"/>
        <v>-236875</v>
      </c>
      <c r="AB321">
        <f t="shared" si="8"/>
        <v>-1.3257089653688718</v>
      </c>
    </row>
    <row r="322" spans="1:28">
      <c r="A322" t="s">
        <v>41</v>
      </c>
      <c r="B322" s="2">
        <v>44866</v>
      </c>
      <c r="C322" s="2">
        <v>44835</v>
      </c>
      <c r="D322" s="2">
        <v>44953</v>
      </c>
      <c r="E322">
        <v>91452280</v>
      </c>
      <c r="F322">
        <v>91225300</v>
      </c>
      <c r="G322">
        <v>-226980</v>
      </c>
      <c r="H322">
        <v>88.89</v>
      </c>
      <c r="I322">
        <v>1050000</v>
      </c>
      <c r="J322" t="s">
        <v>29</v>
      </c>
      <c r="K322">
        <v>62.67</v>
      </c>
      <c r="L322">
        <v>63.72</v>
      </c>
      <c r="M322">
        <v>20649914</v>
      </c>
      <c r="N322">
        <v>20815369</v>
      </c>
      <c r="O322">
        <v>0</v>
      </c>
      <c r="P322">
        <v>0</v>
      </c>
      <c r="Q322">
        <v>25785346</v>
      </c>
      <c r="R322">
        <v>25224424</v>
      </c>
      <c r="S322">
        <v>6411561</v>
      </c>
      <c r="T322">
        <v>6390616</v>
      </c>
      <c r="U322">
        <v>0</v>
      </c>
      <c r="V322">
        <v>0</v>
      </c>
      <c r="W322">
        <v>0</v>
      </c>
      <c r="X322">
        <v>0</v>
      </c>
      <c r="Y322">
        <v>38605459</v>
      </c>
      <c r="Z322">
        <v>38794891</v>
      </c>
      <c r="AA322">
        <f t="shared" si="9"/>
        <v>-560922</v>
      </c>
      <c r="AB322">
        <f t="shared" si="8"/>
        <v>-2.1753518451914511</v>
      </c>
    </row>
    <row r="323" spans="1:28">
      <c r="A323" t="s">
        <v>42</v>
      </c>
      <c r="B323" s="2">
        <v>44866</v>
      </c>
      <c r="C323" s="2">
        <v>44835</v>
      </c>
      <c r="D323" s="2">
        <v>44953</v>
      </c>
      <c r="E323">
        <v>33982226</v>
      </c>
      <c r="F323">
        <v>33885253</v>
      </c>
      <c r="G323">
        <v>-96973</v>
      </c>
      <c r="H323">
        <v>69.55</v>
      </c>
      <c r="I323">
        <v>260000</v>
      </c>
      <c r="J323" t="s">
        <v>29</v>
      </c>
      <c r="K323">
        <v>28.76</v>
      </c>
      <c r="L323">
        <v>29.02</v>
      </c>
      <c r="M323">
        <v>9462952</v>
      </c>
      <c r="N323">
        <v>9427519</v>
      </c>
      <c r="O323">
        <v>1197</v>
      </c>
      <c r="P323">
        <v>1186</v>
      </c>
      <c r="Q323">
        <v>11515155</v>
      </c>
      <c r="R323">
        <v>11433688</v>
      </c>
      <c r="S323">
        <v>0</v>
      </c>
      <c r="T323">
        <v>0</v>
      </c>
      <c r="U323">
        <v>0</v>
      </c>
      <c r="V323">
        <v>0</v>
      </c>
      <c r="W323">
        <v>1074959</v>
      </c>
      <c r="X323">
        <v>1071148</v>
      </c>
      <c r="Y323">
        <v>11927963</v>
      </c>
      <c r="Z323">
        <v>11951712</v>
      </c>
      <c r="AA323">
        <f t="shared" si="9"/>
        <v>-81467</v>
      </c>
      <c r="AB323">
        <f t="shared" ref="AB323:AB386" si="10">(($R323-$Q323)/$Q323)*100</f>
        <v>-0.70747636484267906</v>
      </c>
    </row>
    <row r="324" spans="1:28">
      <c r="A324" t="s">
        <v>43</v>
      </c>
      <c r="B324" s="2">
        <v>44866</v>
      </c>
      <c r="C324" s="2">
        <v>44835</v>
      </c>
      <c r="D324" s="2">
        <v>44953</v>
      </c>
      <c r="E324">
        <v>12103691</v>
      </c>
      <c r="F324">
        <v>12127487</v>
      </c>
      <c r="G324">
        <v>23796</v>
      </c>
      <c r="H324">
        <v>93.92</v>
      </c>
      <c r="I324">
        <v>20000</v>
      </c>
      <c r="J324" t="s">
        <v>29</v>
      </c>
      <c r="K324">
        <v>1.85</v>
      </c>
      <c r="L324">
        <v>1.87</v>
      </c>
      <c r="M324">
        <v>5798015</v>
      </c>
      <c r="N324">
        <v>5813244</v>
      </c>
      <c r="O324">
        <v>0</v>
      </c>
      <c r="P324">
        <v>0</v>
      </c>
      <c r="Q324">
        <v>1004679</v>
      </c>
      <c r="R324">
        <v>990057</v>
      </c>
      <c r="S324">
        <v>1385412</v>
      </c>
      <c r="T324">
        <v>1379535</v>
      </c>
      <c r="U324">
        <v>0</v>
      </c>
      <c r="V324">
        <v>0</v>
      </c>
      <c r="W324">
        <v>0</v>
      </c>
      <c r="X324">
        <v>0</v>
      </c>
      <c r="Y324">
        <v>3915585</v>
      </c>
      <c r="Z324">
        <v>3944651</v>
      </c>
      <c r="AA324">
        <f t="shared" ref="AA324:AA387" si="11">$R324-$Q324</f>
        <v>-14622</v>
      </c>
      <c r="AB324">
        <f t="shared" si="10"/>
        <v>-1.455390229117957</v>
      </c>
    </row>
    <row r="325" spans="1:28">
      <c r="A325" t="s">
        <v>44</v>
      </c>
      <c r="B325" s="2">
        <v>44866</v>
      </c>
      <c r="C325" s="2">
        <v>44835</v>
      </c>
      <c r="D325" s="2">
        <v>44953</v>
      </c>
      <c r="E325">
        <v>33137270</v>
      </c>
      <c r="F325">
        <v>33232801</v>
      </c>
      <c r="G325">
        <v>95531</v>
      </c>
      <c r="H325">
        <v>94.92</v>
      </c>
      <c r="I325">
        <v>150000</v>
      </c>
      <c r="J325" t="s">
        <v>29</v>
      </c>
      <c r="K325">
        <v>14.18</v>
      </c>
      <c r="L325">
        <v>14.33</v>
      </c>
      <c r="M325">
        <v>11360062</v>
      </c>
      <c r="N325">
        <v>11390700</v>
      </c>
      <c r="O325">
        <v>32</v>
      </c>
      <c r="P325">
        <v>30</v>
      </c>
      <c r="Q325">
        <v>1645826</v>
      </c>
      <c r="R325">
        <v>1653617</v>
      </c>
      <c r="S325">
        <v>6320827</v>
      </c>
      <c r="T325">
        <v>6323737</v>
      </c>
      <c r="U325">
        <v>0</v>
      </c>
      <c r="V325">
        <v>0</v>
      </c>
      <c r="W325">
        <v>0</v>
      </c>
      <c r="X325">
        <v>0</v>
      </c>
      <c r="Y325">
        <v>13810523</v>
      </c>
      <c r="Z325">
        <v>13864717</v>
      </c>
      <c r="AA325">
        <f t="shared" si="11"/>
        <v>7791</v>
      </c>
      <c r="AB325">
        <f t="shared" si="10"/>
        <v>0.47337932442433156</v>
      </c>
    </row>
    <row r="326" spans="1:28">
      <c r="A326" t="s">
        <v>45</v>
      </c>
      <c r="B326" s="2">
        <v>44866</v>
      </c>
      <c r="C326" s="2">
        <v>44835</v>
      </c>
      <c r="D326" s="2">
        <v>44953</v>
      </c>
      <c r="E326">
        <v>35884794</v>
      </c>
      <c r="F326">
        <v>35760226</v>
      </c>
      <c r="G326">
        <v>-124568</v>
      </c>
      <c r="H326">
        <v>90.23</v>
      </c>
      <c r="I326">
        <v>300000</v>
      </c>
      <c r="J326" t="s">
        <v>29</v>
      </c>
      <c r="K326">
        <v>27.17</v>
      </c>
      <c r="L326">
        <v>27.47</v>
      </c>
      <c r="M326">
        <v>12105740</v>
      </c>
      <c r="N326">
        <v>12176302</v>
      </c>
      <c r="O326">
        <v>113</v>
      </c>
      <c r="P326">
        <v>113</v>
      </c>
      <c r="Q326">
        <v>7544015</v>
      </c>
      <c r="R326">
        <v>7467094</v>
      </c>
      <c r="S326">
        <v>5051223</v>
      </c>
      <c r="T326">
        <v>4987442</v>
      </c>
      <c r="U326">
        <v>0</v>
      </c>
      <c r="V326">
        <v>0</v>
      </c>
      <c r="W326">
        <v>0</v>
      </c>
      <c r="X326">
        <v>0</v>
      </c>
      <c r="Y326">
        <v>11183703</v>
      </c>
      <c r="Z326">
        <v>11129275</v>
      </c>
      <c r="AA326">
        <f t="shared" si="11"/>
        <v>-76921</v>
      </c>
      <c r="AB326">
        <f t="shared" si="10"/>
        <v>-1.019629467862935</v>
      </c>
    </row>
    <row r="327" spans="1:28">
      <c r="A327" t="s">
        <v>46</v>
      </c>
      <c r="B327" s="2">
        <v>44866</v>
      </c>
      <c r="C327" s="2">
        <v>44835</v>
      </c>
      <c r="D327" s="2">
        <v>44953</v>
      </c>
      <c r="E327">
        <v>63057291</v>
      </c>
      <c r="F327">
        <v>62939539</v>
      </c>
      <c r="G327">
        <v>-117752</v>
      </c>
      <c r="H327">
        <v>93.16</v>
      </c>
      <c r="I327">
        <v>730000</v>
      </c>
      <c r="J327" t="s">
        <v>29</v>
      </c>
      <c r="K327">
        <v>54.07</v>
      </c>
      <c r="L327">
        <v>54.8</v>
      </c>
      <c r="M327">
        <v>21978942</v>
      </c>
      <c r="N327">
        <v>21858415</v>
      </c>
      <c r="O327">
        <v>161</v>
      </c>
      <c r="P327">
        <v>159</v>
      </c>
      <c r="Q327">
        <v>10400783</v>
      </c>
      <c r="R327">
        <v>10349423</v>
      </c>
      <c r="S327">
        <v>6378687</v>
      </c>
      <c r="T327">
        <v>6356440</v>
      </c>
      <c r="U327">
        <v>0</v>
      </c>
      <c r="V327">
        <v>0</v>
      </c>
      <c r="W327">
        <v>0</v>
      </c>
      <c r="X327">
        <v>0</v>
      </c>
      <c r="Y327">
        <v>24298718</v>
      </c>
      <c r="Z327">
        <v>24375102</v>
      </c>
      <c r="AA327">
        <f t="shared" si="11"/>
        <v>-51360</v>
      </c>
      <c r="AB327">
        <f t="shared" si="10"/>
        <v>-0.49380897572807742</v>
      </c>
    </row>
    <row r="328" spans="1:28">
      <c r="A328" t="s">
        <v>47</v>
      </c>
      <c r="B328" s="2">
        <v>44866</v>
      </c>
      <c r="C328" s="2">
        <v>44835</v>
      </c>
      <c r="D328" s="2">
        <v>44953</v>
      </c>
      <c r="E328">
        <v>77843101</v>
      </c>
      <c r="F328">
        <v>78253972</v>
      </c>
      <c r="G328">
        <v>410871</v>
      </c>
      <c r="H328">
        <v>92.28</v>
      </c>
      <c r="I328">
        <v>530000</v>
      </c>
      <c r="J328" t="s">
        <v>29</v>
      </c>
      <c r="K328">
        <v>52.62</v>
      </c>
      <c r="L328">
        <v>53.15</v>
      </c>
      <c r="M328">
        <v>27255080</v>
      </c>
      <c r="N328">
        <v>27429986</v>
      </c>
      <c r="O328">
        <v>271</v>
      </c>
      <c r="P328">
        <v>271</v>
      </c>
      <c r="Q328">
        <v>17221976</v>
      </c>
      <c r="R328">
        <v>17288073</v>
      </c>
      <c r="S328">
        <v>9537386</v>
      </c>
      <c r="T328">
        <v>9538723</v>
      </c>
      <c r="U328">
        <v>73198</v>
      </c>
      <c r="V328">
        <v>82002</v>
      </c>
      <c r="W328">
        <v>0</v>
      </c>
      <c r="X328">
        <v>0</v>
      </c>
      <c r="Y328">
        <v>23755190</v>
      </c>
      <c r="Z328">
        <v>23914917</v>
      </c>
      <c r="AA328">
        <f t="shared" si="11"/>
        <v>66097</v>
      </c>
      <c r="AB328">
        <f t="shared" si="10"/>
        <v>0.38379451928164338</v>
      </c>
    </row>
    <row r="329" spans="1:28">
      <c r="A329" t="s">
        <v>48</v>
      </c>
      <c r="B329" s="2">
        <v>44866</v>
      </c>
      <c r="C329" s="2">
        <v>44835</v>
      </c>
      <c r="D329" s="2">
        <v>44953</v>
      </c>
      <c r="E329">
        <v>100380183</v>
      </c>
      <c r="F329">
        <v>100285553</v>
      </c>
      <c r="G329">
        <v>-94630</v>
      </c>
      <c r="H329">
        <v>86.42</v>
      </c>
      <c r="I329">
        <v>1690000</v>
      </c>
      <c r="J329" t="s">
        <v>29</v>
      </c>
      <c r="K329">
        <v>62.65</v>
      </c>
      <c r="L329">
        <v>64.34</v>
      </c>
      <c r="M329">
        <v>36158120</v>
      </c>
      <c r="N329">
        <v>36188001</v>
      </c>
      <c r="O329">
        <v>0</v>
      </c>
      <c r="P329">
        <v>0</v>
      </c>
      <c r="Q329">
        <v>19331519</v>
      </c>
      <c r="R329">
        <v>19299489</v>
      </c>
      <c r="S329">
        <v>10147502</v>
      </c>
      <c r="T329">
        <v>9786103</v>
      </c>
      <c r="U329">
        <v>0</v>
      </c>
      <c r="V329">
        <v>0</v>
      </c>
      <c r="W329">
        <v>0</v>
      </c>
      <c r="X329">
        <v>0</v>
      </c>
      <c r="Y329">
        <v>34743042</v>
      </c>
      <c r="Z329">
        <v>35011960</v>
      </c>
      <c r="AA329">
        <f t="shared" si="11"/>
        <v>-32030</v>
      </c>
      <c r="AB329">
        <f t="shared" si="10"/>
        <v>-0.16568796275140096</v>
      </c>
    </row>
    <row r="330" spans="1:28">
      <c r="A330" t="s">
        <v>49</v>
      </c>
      <c r="B330" s="2">
        <v>44866</v>
      </c>
      <c r="C330" s="2">
        <v>44835</v>
      </c>
      <c r="D330" s="2">
        <v>44953</v>
      </c>
      <c r="E330">
        <v>63922454</v>
      </c>
      <c r="F330">
        <v>63353614</v>
      </c>
      <c r="G330">
        <v>-568840</v>
      </c>
      <c r="H330">
        <v>84.81</v>
      </c>
      <c r="I330">
        <v>1290000</v>
      </c>
      <c r="J330" t="s">
        <v>29</v>
      </c>
      <c r="K330">
        <v>48.91</v>
      </c>
      <c r="L330">
        <v>50.2</v>
      </c>
      <c r="M330">
        <v>18635968</v>
      </c>
      <c r="N330">
        <v>18596553</v>
      </c>
      <c r="O330">
        <v>8</v>
      </c>
      <c r="P330">
        <v>8</v>
      </c>
      <c r="Q330">
        <v>17532134</v>
      </c>
      <c r="R330">
        <v>17259455</v>
      </c>
      <c r="S330">
        <v>5648600</v>
      </c>
      <c r="T330">
        <v>5615695</v>
      </c>
      <c r="U330">
        <v>0</v>
      </c>
      <c r="V330">
        <v>0</v>
      </c>
      <c r="W330">
        <v>0</v>
      </c>
      <c r="X330">
        <v>0</v>
      </c>
      <c r="Y330">
        <v>22105744</v>
      </c>
      <c r="Z330">
        <v>21881903</v>
      </c>
      <c r="AA330">
        <f t="shared" si="11"/>
        <v>-272679</v>
      </c>
      <c r="AB330">
        <f t="shared" si="10"/>
        <v>-1.5553098099752147</v>
      </c>
    </row>
    <row r="331" spans="1:28">
      <c r="A331" t="s">
        <v>50</v>
      </c>
      <c r="B331" s="2">
        <v>44866</v>
      </c>
      <c r="C331" s="2">
        <v>44835</v>
      </c>
      <c r="D331" s="2">
        <v>44953</v>
      </c>
      <c r="E331">
        <v>56879621</v>
      </c>
      <c r="F331">
        <v>56615692</v>
      </c>
      <c r="G331">
        <v>-263929</v>
      </c>
      <c r="H331">
        <v>86.79</v>
      </c>
      <c r="I331">
        <v>730000</v>
      </c>
      <c r="J331" t="s">
        <v>29</v>
      </c>
      <c r="K331">
        <v>40.67</v>
      </c>
      <c r="L331">
        <v>41.4</v>
      </c>
      <c r="M331">
        <v>16492148</v>
      </c>
      <c r="N331">
        <v>16624598</v>
      </c>
      <c r="O331">
        <v>157</v>
      </c>
      <c r="P331">
        <v>151</v>
      </c>
      <c r="Q331">
        <v>14912584</v>
      </c>
      <c r="R331">
        <v>14804270</v>
      </c>
      <c r="S331">
        <v>2389825</v>
      </c>
      <c r="T331">
        <v>2401996</v>
      </c>
      <c r="U331">
        <v>0</v>
      </c>
      <c r="V331">
        <v>0</v>
      </c>
      <c r="W331">
        <v>0</v>
      </c>
      <c r="X331">
        <v>0</v>
      </c>
      <c r="Y331">
        <v>23084907</v>
      </c>
      <c r="Z331">
        <v>22784677</v>
      </c>
      <c r="AA331">
        <f t="shared" si="11"/>
        <v>-108314</v>
      </c>
      <c r="AB331">
        <f t="shared" si="10"/>
        <v>-0.72632616855670351</v>
      </c>
    </row>
    <row r="332" spans="1:28">
      <c r="A332" t="s">
        <v>28</v>
      </c>
      <c r="B332" s="2">
        <v>44896</v>
      </c>
      <c r="C332" s="2">
        <v>44866</v>
      </c>
      <c r="D332" s="2">
        <v>44973</v>
      </c>
      <c r="E332">
        <v>82329823</v>
      </c>
      <c r="F332">
        <v>82372974</v>
      </c>
      <c r="G332">
        <v>43151</v>
      </c>
      <c r="H332">
        <v>93.55</v>
      </c>
      <c r="I332">
        <v>650000</v>
      </c>
      <c r="J332" t="s">
        <v>29</v>
      </c>
      <c r="K332">
        <v>55.73</v>
      </c>
      <c r="L332">
        <v>56.38</v>
      </c>
      <c r="M332">
        <v>31986320</v>
      </c>
      <c r="N332">
        <v>32163984</v>
      </c>
      <c r="O332">
        <v>0</v>
      </c>
      <c r="P332">
        <v>0</v>
      </c>
      <c r="Q332">
        <v>12189800</v>
      </c>
      <c r="R332">
        <v>12060526</v>
      </c>
      <c r="S332">
        <v>8294784</v>
      </c>
      <c r="T332">
        <v>8156707</v>
      </c>
      <c r="U332">
        <v>0</v>
      </c>
      <c r="V332">
        <v>0</v>
      </c>
      <c r="W332">
        <v>0</v>
      </c>
      <c r="X332">
        <v>0</v>
      </c>
      <c r="Y332">
        <v>29858919</v>
      </c>
      <c r="Z332">
        <v>29991757</v>
      </c>
      <c r="AA332">
        <f t="shared" si="11"/>
        <v>-129274</v>
      </c>
      <c r="AB332">
        <f t="shared" si="10"/>
        <v>-1.0605096063922297</v>
      </c>
    </row>
    <row r="333" spans="1:28">
      <c r="A333" t="s">
        <v>30</v>
      </c>
      <c r="B333" s="2">
        <v>44896</v>
      </c>
      <c r="C333" s="2">
        <v>44866</v>
      </c>
      <c r="D333" s="2">
        <v>44973</v>
      </c>
      <c r="E333">
        <v>24585121</v>
      </c>
      <c r="F333">
        <v>24706775</v>
      </c>
      <c r="G333">
        <v>121654</v>
      </c>
      <c r="H333">
        <v>91.4</v>
      </c>
      <c r="I333">
        <v>80000</v>
      </c>
      <c r="J333" t="s">
        <v>29</v>
      </c>
      <c r="K333">
        <v>5.51</v>
      </c>
      <c r="L333">
        <v>5.59</v>
      </c>
      <c r="M333">
        <v>10574415</v>
      </c>
      <c r="N333">
        <v>10648415</v>
      </c>
      <c r="O333">
        <v>0</v>
      </c>
      <c r="P333">
        <v>0</v>
      </c>
      <c r="Q333">
        <v>2169994</v>
      </c>
      <c r="R333">
        <v>2128563</v>
      </c>
      <c r="S333">
        <v>3297907</v>
      </c>
      <c r="T333">
        <v>3308505</v>
      </c>
      <c r="U333">
        <v>0</v>
      </c>
      <c r="V333">
        <v>0</v>
      </c>
      <c r="W333">
        <v>0</v>
      </c>
      <c r="X333">
        <v>0</v>
      </c>
      <c r="Y333">
        <v>8542805</v>
      </c>
      <c r="Z333">
        <v>8621292</v>
      </c>
      <c r="AA333">
        <f t="shared" si="11"/>
        <v>-41431</v>
      </c>
      <c r="AB333">
        <f t="shared" si="10"/>
        <v>-1.9092679518929547</v>
      </c>
    </row>
    <row r="334" spans="1:28">
      <c r="A334" t="s">
        <v>31</v>
      </c>
      <c r="B334" s="2">
        <v>44896</v>
      </c>
      <c r="C334" s="2">
        <v>44866</v>
      </c>
      <c r="D334" s="2">
        <v>44973</v>
      </c>
      <c r="E334">
        <v>91220765</v>
      </c>
      <c r="F334">
        <v>90874153</v>
      </c>
      <c r="G334">
        <v>-346612</v>
      </c>
      <c r="H334">
        <v>81.69</v>
      </c>
      <c r="I334">
        <v>860000</v>
      </c>
      <c r="J334" t="s">
        <v>29</v>
      </c>
      <c r="K334">
        <v>39.979999999999997</v>
      </c>
      <c r="L334">
        <v>40.840000000000003</v>
      </c>
      <c r="M334">
        <v>39646114</v>
      </c>
      <c r="N334">
        <v>39726581</v>
      </c>
      <c r="O334">
        <v>0</v>
      </c>
      <c r="P334">
        <v>0</v>
      </c>
      <c r="Q334">
        <v>9533826</v>
      </c>
      <c r="R334">
        <v>9195941</v>
      </c>
      <c r="S334">
        <v>5730724</v>
      </c>
      <c r="T334">
        <v>5705175</v>
      </c>
      <c r="U334">
        <v>0</v>
      </c>
      <c r="V334">
        <v>0</v>
      </c>
      <c r="W334">
        <v>0</v>
      </c>
      <c r="X334">
        <v>0</v>
      </c>
      <c r="Y334">
        <v>36310101</v>
      </c>
      <c r="Z334">
        <v>36246456</v>
      </c>
      <c r="AA334">
        <f t="shared" si="11"/>
        <v>-337885</v>
      </c>
      <c r="AB334">
        <f t="shared" si="10"/>
        <v>-3.5440651004119439</v>
      </c>
    </row>
    <row r="335" spans="1:28">
      <c r="A335" t="s">
        <v>32</v>
      </c>
      <c r="B335" s="2">
        <v>44896</v>
      </c>
      <c r="C335" s="2">
        <v>44866</v>
      </c>
      <c r="D335" s="2">
        <v>44973</v>
      </c>
      <c r="E335">
        <v>53472789</v>
      </c>
      <c r="F335">
        <v>53877240</v>
      </c>
      <c r="G335">
        <v>404451</v>
      </c>
      <c r="H335">
        <v>64.08</v>
      </c>
      <c r="I335">
        <v>610000</v>
      </c>
      <c r="J335" t="s">
        <v>29</v>
      </c>
      <c r="K335">
        <v>36.99</v>
      </c>
      <c r="L335">
        <v>37.6</v>
      </c>
      <c r="M335">
        <v>16689920</v>
      </c>
      <c r="N335">
        <v>16826426</v>
      </c>
      <c r="O335">
        <v>197</v>
      </c>
      <c r="P335">
        <v>194</v>
      </c>
      <c r="Q335">
        <v>16773385</v>
      </c>
      <c r="R335">
        <v>16872359</v>
      </c>
      <c r="S335">
        <v>0</v>
      </c>
      <c r="T335">
        <v>0</v>
      </c>
      <c r="U335">
        <v>0</v>
      </c>
      <c r="V335">
        <v>0</v>
      </c>
      <c r="W335">
        <v>1690857</v>
      </c>
      <c r="X335">
        <v>1690527</v>
      </c>
      <c r="Y335">
        <v>18318430</v>
      </c>
      <c r="Z335">
        <v>18487734</v>
      </c>
      <c r="AA335">
        <f t="shared" si="11"/>
        <v>98974</v>
      </c>
      <c r="AB335">
        <f t="shared" si="10"/>
        <v>0.59006574999619932</v>
      </c>
    </row>
    <row r="336" spans="1:28">
      <c r="A336" t="s">
        <v>33</v>
      </c>
      <c r="B336" s="2">
        <v>44896</v>
      </c>
      <c r="C336" s="2">
        <v>44866</v>
      </c>
      <c r="D336" s="2">
        <v>44973</v>
      </c>
      <c r="E336">
        <v>66255654</v>
      </c>
      <c r="F336">
        <v>66065871</v>
      </c>
      <c r="G336">
        <v>-189783</v>
      </c>
      <c r="H336">
        <v>93.43</v>
      </c>
      <c r="I336">
        <v>860000</v>
      </c>
      <c r="J336" t="s">
        <v>29</v>
      </c>
      <c r="K336">
        <v>52.5</v>
      </c>
      <c r="L336">
        <v>53.36</v>
      </c>
      <c r="M336">
        <v>11286317</v>
      </c>
      <c r="N336">
        <v>11380155</v>
      </c>
      <c r="O336">
        <v>56</v>
      </c>
      <c r="P336">
        <v>47</v>
      </c>
      <c r="Q336">
        <v>22802688</v>
      </c>
      <c r="R336">
        <v>22528058</v>
      </c>
      <c r="S336">
        <v>5186621</v>
      </c>
      <c r="T336">
        <v>5139655</v>
      </c>
      <c r="U336">
        <v>0</v>
      </c>
      <c r="V336">
        <v>0</v>
      </c>
      <c r="W336">
        <v>0</v>
      </c>
      <c r="X336">
        <v>0</v>
      </c>
      <c r="Y336">
        <v>26979972</v>
      </c>
      <c r="Z336">
        <v>27017956</v>
      </c>
      <c r="AA336">
        <f t="shared" si="11"/>
        <v>-274630</v>
      </c>
      <c r="AB336">
        <f t="shared" si="10"/>
        <v>-1.2043755543206134</v>
      </c>
    </row>
    <row r="337" spans="1:28">
      <c r="A337" t="s">
        <v>34</v>
      </c>
      <c r="B337" s="2">
        <v>44896</v>
      </c>
      <c r="C337" s="2">
        <v>44866</v>
      </c>
      <c r="D337" s="2">
        <v>44973</v>
      </c>
      <c r="E337">
        <v>26755022</v>
      </c>
      <c r="F337">
        <v>26702387</v>
      </c>
      <c r="G337">
        <v>-52635</v>
      </c>
      <c r="H337">
        <v>88.21</v>
      </c>
      <c r="I337">
        <v>320000</v>
      </c>
      <c r="J337" t="s">
        <v>29</v>
      </c>
      <c r="K337">
        <v>25.12</v>
      </c>
      <c r="L337">
        <v>25.44</v>
      </c>
      <c r="M337">
        <v>6459040</v>
      </c>
      <c r="N337">
        <v>6489254</v>
      </c>
      <c r="O337">
        <v>12</v>
      </c>
      <c r="P337">
        <v>11</v>
      </c>
      <c r="Q337">
        <v>7567239</v>
      </c>
      <c r="R337">
        <v>7563522</v>
      </c>
      <c r="S337">
        <v>4702058</v>
      </c>
      <c r="T337">
        <v>4621826</v>
      </c>
      <c r="U337">
        <v>0</v>
      </c>
      <c r="V337">
        <v>0</v>
      </c>
      <c r="W337">
        <v>0</v>
      </c>
      <c r="X337">
        <v>0</v>
      </c>
      <c r="Y337">
        <v>8026673</v>
      </c>
      <c r="Z337">
        <v>8027774</v>
      </c>
      <c r="AA337">
        <f t="shared" si="11"/>
        <v>-3717</v>
      </c>
      <c r="AB337">
        <f t="shared" si="10"/>
        <v>-4.9119632669194134E-2</v>
      </c>
    </row>
    <row r="338" spans="1:28">
      <c r="A338" t="s">
        <v>35</v>
      </c>
      <c r="B338" s="2">
        <v>44896</v>
      </c>
      <c r="C338" s="2">
        <v>44866</v>
      </c>
      <c r="D338" s="2">
        <v>44973</v>
      </c>
      <c r="E338">
        <v>9769221</v>
      </c>
      <c r="F338">
        <v>9588735</v>
      </c>
      <c r="G338">
        <v>-180486</v>
      </c>
      <c r="H338">
        <v>104.29</v>
      </c>
      <c r="I338">
        <v>50000</v>
      </c>
      <c r="J338" t="s">
        <v>29</v>
      </c>
      <c r="K338">
        <v>3.43</v>
      </c>
      <c r="L338">
        <v>3.48</v>
      </c>
      <c r="M338">
        <v>3408687</v>
      </c>
      <c r="N338">
        <v>3414229</v>
      </c>
      <c r="O338">
        <v>92</v>
      </c>
      <c r="P338">
        <v>92</v>
      </c>
      <c r="Q338">
        <v>505671</v>
      </c>
      <c r="R338">
        <v>496145</v>
      </c>
      <c r="S338">
        <v>2526660</v>
      </c>
      <c r="T338">
        <v>2391457</v>
      </c>
      <c r="U338">
        <v>0</v>
      </c>
      <c r="V338">
        <v>0</v>
      </c>
      <c r="W338">
        <v>0</v>
      </c>
      <c r="X338">
        <v>0</v>
      </c>
      <c r="Y338">
        <v>3328111</v>
      </c>
      <c r="Z338">
        <v>3286812</v>
      </c>
      <c r="AA338">
        <f t="shared" si="11"/>
        <v>-9526</v>
      </c>
      <c r="AB338">
        <f t="shared" si="10"/>
        <v>-1.8838335597651437</v>
      </c>
    </row>
    <row r="339" spans="1:28">
      <c r="A339" t="s">
        <v>36</v>
      </c>
      <c r="B339" s="2">
        <v>44896</v>
      </c>
      <c r="C339" s="2">
        <v>44866</v>
      </c>
      <c r="D339" s="2">
        <v>44973</v>
      </c>
      <c r="E339">
        <v>12057578</v>
      </c>
      <c r="F339">
        <v>12059318</v>
      </c>
      <c r="G339">
        <v>1740</v>
      </c>
      <c r="H339">
        <v>80</v>
      </c>
      <c r="I339">
        <v>30000</v>
      </c>
      <c r="J339" t="s">
        <v>29</v>
      </c>
      <c r="K339">
        <v>1.77</v>
      </c>
      <c r="L339">
        <v>1.8</v>
      </c>
      <c r="M339">
        <v>5819809</v>
      </c>
      <c r="N339">
        <v>5795811</v>
      </c>
      <c r="O339">
        <v>0</v>
      </c>
      <c r="P339">
        <v>0</v>
      </c>
      <c r="Q339">
        <v>399193</v>
      </c>
      <c r="R339">
        <v>387466</v>
      </c>
      <c r="S339">
        <v>832052</v>
      </c>
      <c r="T339">
        <v>830350</v>
      </c>
      <c r="U339">
        <v>0</v>
      </c>
      <c r="V339">
        <v>0</v>
      </c>
      <c r="W339">
        <v>0</v>
      </c>
      <c r="X339">
        <v>0</v>
      </c>
      <c r="Y339">
        <v>5006524</v>
      </c>
      <c r="Z339">
        <v>5045691</v>
      </c>
      <c r="AA339">
        <f t="shared" si="11"/>
        <v>-11727</v>
      </c>
      <c r="AB339">
        <f t="shared" si="10"/>
        <v>-2.9376767628690881</v>
      </c>
    </row>
    <row r="340" spans="1:28">
      <c r="A340" t="s">
        <v>37</v>
      </c>
      <c r="B340" s="2">
        <v>44896</v>
      </c>
      <c r="C340" s="2">
        <v>44866</v>
      </c>
      <c r="D340" s="2">
        <v>44973</v>
      </c>
      <c r="E340">
        <v>66267612</v>
      </c>
      <c r="F340">
        <v>66308389</v>
      </c>
      <c r="G340">
        <v>40777</v>
      </c>
      <c r="H340">
        <v>83.5</v>
      </c>
      <c r="I340">
        <v>620000</v>
      </c>
      <c r="J340" t="s">
        <v>29</v>
      </c>
      <c r="K340">
        <v>57.59</v>
      </c>
      <c r="L340">
        <v>58.21</v>
      </c>
      <c r="M340">
        <v>31070659</v>
      </c>
      <c r="N340">
        <v>31169983</v>
      </c>
      <c r="O340">
        <v>596</v>
      </c>
      <c r="P340">
        <v>593</v>
      </c>
      <c r="Q340">
        <v>7748135</v>
      </c>
      <c r="R340">
        <v>7598993</v>
      </c>
      <c r="S340">
        <v>6514593</v>
      </c>
      <c r="T340">
        <v>6492981</v>
      </c>
      <c r="U340">
        <v>0</v>
      </c>
      <c r="V340">
        <v>0</v>
      </c>
      <c r="W340">
        <v>0</v>
      </c>
      <c r="X340">
        <v>0</v>
      </c>
      <c r="Y340">
        <v>20933629</v>
      </c>
      <c r="Z340">
        <v>21045839</v>
      </c>
      <c r="AA340">
        <f t="shared" si="11"/>
        <v>-149142</v>
      </c>
      <c r="AB340">
        <f t="shared" si="10"/>
        <v>-1.9248761153490483</v>
      </c>
    </row>
    <row r="341" spans="1:28">
      <c r="A341" t="s">
        <v>38</v>
      </c>
      <c r="B341" s="2">
        <v>44896</v>
      </c>
      <c r="C341" s="2">
        <v>44866</v>
      </c>
      <c r="D341" s="2">
        <v>44973</v>
      </c>
      <c r="E341">
        <v>42531895</v>
      </c>
      <c r="F341">
        <v>42499452</v>
      </c>
      <c r="G341">
        <v>-32443</v>
      </c>
      <c r="H341">
        <v>93.64</v>
      </c>
      <c r="I341">
        <v>220000</v>
      </c>
      <c r="J341" t="s">
        <v>29</v>
      </c>
      <c r="K341">
        <v>20.03</v>
      </c>
      <c r="L341">
        <v>20.25</v>
      </c>
      <c r="M341">
        <v>7902200</v>
      </c>
      <c r="N341">
        <v>7942467</v>
      </c>
      <c r="O341">
        <v>127</v>
      </c>
      <c r="P341">
        <v>114</v>
      </c>
      <c r="Q341">
        <v>14775767</v>
      </c>
      <c r="R341">
        <v>14684250</v>
      </c>
      <c r="S341">
        <v>9980393</v>
      </c>
      <c r="T341">
        <v>9961133</v>
      </c>
      <c r="U341">
        <v>0</v>
      </c>
      <c r="V341">
        <v>0</v>
      </c>
      <c r="W341">
        <v>0</v>
      </c>
      <c r="X341">
        <v>0</v>
      </c>
      <c r="Y341">
        <v>9873408</v>
      </c>
      <c r="Z341">
        <v>9911488</v>
      </c>
      <c r="AA341">
        <f t="shared" si="11"/>
        <v>-91517</v>
      </c>
      <c r="AB341">
        <f t="shared" si="10"/>
        <v>-0.6193722464627387</v>
      </c>
    </row>
    <row r="342" spans="1:28">
      <c r="A342" t="s">
        <v>39</v>
      </c>
      <c r="B342" s="2">
        <v>44896</v>
      </c>
      <c r="C342" s="2">
        <v>44866</v>
      </c>
      <c r="D342" s="2">
        <v>44973</v>
      </c>
      <c r="E342">
        <v>23941997</v>
      </c>
      <c r="F342">
        <v>24000655</v>
      </c>
      <c r="G342">
        <v>58658</v>
      </c>
      <c r="H342">
        <v>88.81</v>
      </c>
      <c r="I342">
        <v>160000</v>
      </c>
      <c r="J342" t="s">
        <v>29</v>
      </c>
      <c r="K342">
        <v>15.2</v>
      </c>
      <c r="L342">
        <v>15.36</v>
      </c>
      <c r="M342">
        <v>5698150</v>
      </c>
      <c r="N342">
        <v>5699449</v>
      </c>
      <c r="O342">
        <v>0</v>
      </c>
      <c r="P342">
        <v>0</v>
      </c>
      <c r="Q342">
        <v>5929730</v>
      </c>
      <c r="R342">
        <v>5876479</v>
      </c>
      <c r="S342">
        <v>2158282</v>
      </c>
      <c r="T342">
        <v>2166601</v>
      </c>
      <c r="U342">
        <v>0</v>
      </c>
      <c r="V342">
        <v>0</v>
      </c>
      <c r="W342">
        <v>0</v>
      </c>
      <c r="X342">
        <v>0</v>
      </c>
      <c r="Y342">
        <v>10155835</v>
      </c>
      <c r="Z342">
        <v>10258126</v>
      </c>
      <c r="AA342">
        <f t="shared" si="11"/>
        <v>-53251</v>
      </c>
      <c r="AB342">
        <f t="shared" si="10"/>
        <v>-0.89803414320719488</v>
      </c>
    </row>
    <row r="343" spans="1:28">
      <c r="A343" t="s">
        <v>40</v>
      </c>
      <c r="B343" s="2">
        <v>44896</v>
      </c>
      <c r="C343" s="2">
        <v>44866</v>
      </c>
      <c r="D343" s="2">
        <v>44973</v>
      </c>
      <c r="E343">
        <v>76175008</v>
      </c>
      <c r="F343">
        <v>76251364</v>
      </c>
      <c r="G343">
        <v>76356</v>
      </c>
      <c r="H343">
        <v>86.33</v>
      </c>
      <c r="I343">
        <v>1160000</v>
      </c>
      <c r="J343" t="s">
        <v>29</v>
      </c>
      <c r="K343">
        <v>57.8</v>
      </c>
      <c r="L343">
        <v>58.96</v>
      </c>
      <c r="M343">
        <v>15219958</v>
      </c>
      <c r="N343">
        <v>15216078</v>
      </c>
      <c r="O343">
        <v>0</v>
      </c>
      <c r="P343">
        <v>0</v>
      </c>
      <c r="Q343">
        <v>17630923</v>
      </c>
      <c r="R343">
        <v>17368867</v>
      </c>
      <c r="S343">
        <v>5504944</v>
      </c>
      <c r="T343">
        <v>5443063</v>
      </c>
      <c r="U343">
        <v>0</v>
      </c>
      <c r="V343">
        <v>0</v>
      </c>
      <c r="W343">
        <v>0</v>
      </c>
      <c r="X343">
        <v>0</v>
      </c>
      <c r="Y343">
        <v>37819183</v>
      </c>
      <c r="Z343">
        <v>38223356</v>
      </c>
      <c r="AA343">
        <f t="shared" si="11"/>
        <v>-262056</v>
      </c>
      <c r="AB343">
        <f t="shared" si="10"/>
        <v>-1.4863430575926171</v>
      </c>
    </row>
    <row r="344" spans="1:28">
      <c r="A344" t="s">
        <v>41</v>
      </c>
      <c r="B344" s="2">
        <v>44896</v>
      </c>
      <c r="C344" s="2">
        <v>44866</v>
      </c>
      <c r="D344" s="2">
        <v>44973</v>
      </c>
      <c r="E344">
        <v>91225300</v>
      </c>
      <c r="F344">
        <v>91483756</v>
      </c>
      <c r="G344">
        <v>258456</v>
      </c>
      <c r="H344">
        <v>89.6</v>
      </c>
      <c r="I344">
        <v>1040000</v>
      </c>
      <c r="J344" t="s">
        <v>29</v>
      </c>
      <c r="K344">
        <v>63.72</v>
      </c>
      <c r="L344">
        <v>64.760000000000005</v>
      </c>
      <c r="M344">
        <v>20815369</v>
      </c>
      <c r="N344">
        <v>20934562</v>
      </c>
      <c r="O344">
        <v>0</v>
      </c>
      <c r="P344">
        <v>0</v>
      </c>
      <c r="Q344">
        <v>25224424</v>
      </c>
      <c r="R344">
        <v>24958114</v>
      </c>
      <c r="S344">
        <v>6390616</v>
      </c>
      <c r="T344">
        <v>6428378</v>
      </c>
      <c r="U344">
        <v>0</v>
      </c>
      <c r="V344">
        <v>0</v>
      </c>
      <c r="W344">
        <v>0</v>
      </c>
      <c r="X344">
        <v>0</v>
      </c>
      <c r="Y344">
        <v>38794891</v>
      </c>
      <c r="Z344">
        <v>39162702</v>
      </c>
      <c r="AA344">
        <f t="shared" si="11"/>
        <v>-266310</v>
      </c>
      <c r="AB344">
        <f t="shared" si="10"/>
        <v>-1.055762462603705</v>
      </c>
    </row>
    <row r="345" spans="1:28">
      <c r="A345" t="s">
        <v>42</v>
      </c>
      <c r="B345" s="2">
        <v>44896</v>
      </c>
      <c r="C345" s="2">
        <v>44866</v>
      </c>
      <c r="D345" s="2">
        <v>44973</v>
      </c>
      <c r="E345">
        <v>33885253</v>
      </c>
      <c r="F345">
        <v>34020242</v>
      </c>
      <c r="G345">
        <v>134989</v>
      </c>
      <c r="H345">
        <v>70.8</v>
      </c>
      <c r="I345">
        <v>260000</v>
      </c>
      <c r="J345" t="s">
        <v>29</v>
      </c>
      <c r="K345">
        <v>29.02</v>
      </c>
      <c r="L345">
        <v>29.28</v>
      </c>
      <c r="M345">
        <v>9427519</v>
      </c>
      <c r="N345">
        <v>9480918</v>
      </c>
      <c r="O345">
        <v>1186</v>
      </c>
      <c r="P345">
        <v>1015</v>
      </c>
      <c r="Q345">
        <v>11433688</v>
      </c>
      <c r="R345">
        <v>11367552</v>
      </c>
      <c r="S345">
        <v>0</v>
      </c>
      <c r="T345">
        <v>0</v>
      </c>
      <c r="U345">
        <v>0</v>
      </c>
      <c r="V345">
        <v>0</v>
      </c>
      <c r="W345">
        <v>1071148</v>
      </c>
      <c r="X345">
        <v>1068028</v>
      </c>
      <c r="Y345">
        <v>11951712</v>
      </c>
      <c r="Z345">
        <v>12102729</v>
      </c>
      <c r="AA345">
        <f t="shared" si="11"/>
        <v>-66136</v>
      </c>
      <c r="AB345">
        <f t="shared" si="10"/>
        <v>-0.5784310364249925</v>
      </c>
    </row>
    <row r="346" spans="1:28">
      <c r="A346" t="s">
        <v>43</v>
      </c>
      <c r="B346" s="2">
        <v>44896</v>
      </c>
      <c r="C346" s="2">
        <v>44866</v>
      </c>
      <c r="D346" s="2">
        <v>44973</v>
      </c>
      <c r="E346">
        <v>12127487</v>
      </c>
      <c r="F346">
        <v>12128844</v>
      </c>
      <c r="G346">
        <v>1357</v>
      </c>
      <c r="H346">
        <v>98.27</v>
      </c>
      <c r="I346">
        <v>20000</v>
      </c>
      <c r="J346" t="s">
        <v>29</v>
      </c>
      <c r="K346">
        <v>1.87</v>
      </c>
      <c r="L346">
        <v>1.89</v>
      </c>
      <c r="M346">
        <v>5813244</v>
      </c>
      <c r="N346">
        <v>5836711</v>
      </c>
      <c r="O346">
        <v>0</v>
      </c>
      <c r="P346">
        <v>0</v>
      </c>
      <c r="Q346">
        <v>990057</v>
      </c>
      <c r="R346">
        <v>935069</v>
      </c>
      <c r="S346">
        <v>1379535</v>
      </c>
      <c r="T346">
        <v>1373270</v>
      </c>
      <c r="U346">
        <v>0</v>
      </c>
      <c r="V346">
        <v>0</v>
      </c>
      <c r="W346">
        <v>0</v>
      </c>
      <c r="X346">
        <v>0</v>
      </c>
      <c r="Y346">
        <v>3944651</v>
      </c>
      <c r="Z346">
        <v>3983794</v>
      </c>
      <c r="AA346">
        <f t="shared" si="11"/>
        <v>-54988</v>
      </c>
      <c r="AB346">
        <f t="shared" si="10"/>
        <v>-5.5540236572237758</v>
      </c>
    </row>
    <row r="347" spans="1:28">
      <c r="A347" t="s">
        <v>44</v>
      </c>
      <c r="B347" s="2">
        <v>44896</v>
      </c>
      <c r="C347" s="2">
        <v>44866</v>
      </c>
      <c r="D347" s="2">
        <v>44973</v>
      </c>
      <c r="E347">
        <v>33232801</v>
      </c>
      <c r="F347">
        <v>33287290</v>
      </c>
      <c r="G347">
        <v>54489</v>
      </c>
      <c r="H347">
        <v>96.44</v>
      </c>
      <c r="I347">
        <v>160000</v>
      </c>
      <c r="J347" t="s">
        <v>29</v>
      </c>
      <c r="K347">
        <v>14.33</v>
      </c>
      <c r="L347">
        <v>14.49</v>
      </c>
      <c r="M347">
        <v>11390700</v>
      </c>
      <c r="N347">
        <v>11381082</v>
      </c>
      <c r="O347">
        <v>30</v>
      </c>
      <c r="P347">
        <v>29</v>
      </c>
      <c r="Q347">
        <v>1653617</v>
      </c>
      <c r="R347">
        <v>1647883</v>
      </c>
      <c r="S347">
        <v>6323737</v>
      </c>
      <c r="T347">
        <v>6318998</v>
      </c>
      <c r="U347">
        <v>0</v>
      </c>
      <c r="V347">
        <v>0</v>
      </c>
      <c r="W347">
        <v>0</v>
      </c>
      <c r="X347">
        <v>0</v>
      </c>
      <c r="Y347">
        <v>13864717</v>
      </c>
      <c r="Z347">
        <v>13939298</v>
      </c>
      <c r="AA347">
        <f t="shared" si="11"/>
        <v>-5734</v>
      </c>
      <c r="AB347">
        <f t="shared" si="10"/>
        <v>-0.34675502247497453</v>
      </c>
    </row>
    <row r="348" spans="1:28">
      <c r="A348" t="s">
        <v>45</v>
      </c>
      <c r="B348" s="2">
        <v>44896</v>
      </c>
      <c r="C348" s="2">
        <v>44866</v>
      </c>
      <c r="D348" s="2">
        <v>44973</v>
      </c>
      <c r="E348">
        <v>35760226</v>
      </c>
      <c r="F348">
        <v>35813547</v>
      </c>
      <c r="G348">
        <v>53321</v>
      </c>
      <c r="H348">
        <v>90.97</v>
      </c>
      <c r="I348">
        <v>310000</v>
      </c>
      <c r="J348" t="s">
        <v>29</v>
      </c>
      <c r="K348">
        <v>27.47</v>
      </c>
      <c r="L348">
        <v>27.78</v>
      </c>
      <c r="M348">
        <v>12176302</v>
      </c>
      <c r="N348">
        <v>12232409</v>
      </c>
      <c r="O348">
        <v>113</v>
      </c>
      <c r="P348">
        <v>106</v>
      </c>
      <c r="Q348">
        <v>7467094</v>
      </c>
      <c r="R348">
        <v>7386768</v>
      </c>
      <c r="S348">
        <v>4987442</v>
      </c>
      <c r="T348">
        <v>4920829</v>
      </c>
      <c r="U348">
        <v>0</v>
      </c>
      <c r="V348">
        <v>0</v>
      </c>
      <c r="W348">
        <v>0</v>
      </c>
      <c r="X348">
        <v>0</v>
      </c>
      <c r="Y348">
        <v>11129275</v>
      </c>
      <c r="Z348">
        <v>11273435</v>
      </c>
      <c r="AA348">
        <f t="shared" si="11"/>
        <v>-80326</v>
      </c>
      <c r="AB348">
        <f t="shared" si="10"/>
        <v>-1.0757330763480411</v>
      </c>
    </row>
    <row r="349" spans="1:28">
      <c r="A349" t="s">
        <v>46</v>
      </c>
      <c r="B349" s="2">
        <v>44896</v>
      </c>
      <c r="C349" s="2">
        <v>44866</v>
      </c>
      <c r="D349" s="2">
        <v>44973</v>
      </c>
      <c r="E349">
        <v>62939539</v>
      </c>
      <c r="F349">
        <v>63126119</v>
      </c>
      <c r="G349">
        <v>186580</v>
      </c>
      <c r="H349">
        <v>91.07</v>
      </c>
      <c r="I349">
        <v>760000</v>
      </c>
      <c r="J349" t="s">
        <v>29</v>
      </c>
      <c r="K349">
        <v>54.8</v>
      </c>
      <c r="L349">
        <v>55.56</v>
      </c>
      <c r="M349">
        <v>21858415</v>
      </c>
      <c r="N349">
        <v>21980740</v>
      </c>
      <c r="O349">
        <v>159</v>
      </c>
      <c r="P349">
        <v>155</v>
      </c>
      <c r="Q349">
        <v>10349423</v>
      </c>
      <c r="R349">
        <v>10406709</v>
      </c>
      <c r="S349">
        <v>6356440</v>
      </c>
      <c r="T349">
        <v>6293169</v>
      </c>
      <c r="U349">
        <v>0</v>
      </c>
      <c r="V349">
        <v>0</v>
      </c>
      <c r="W349">
        <v>0</v>
      </c>
      <c r="X349">
        <v>0</v>
      </c>
      <c r="Y349">
        <v>24375102</v>
      </c>
      <c r="Z349">
        <v>24445346</v>
      </c>
      <c r="AA349">
        <f t="shared" si="11"/>
        <v>57286</v>
      </c>
      <c r="AB349">
        <f t="shared" si="10"/>
        <v>0.55351878070883753</v>
      </c>
    </row>
    <row r="350" spans="1:28">
      <c r="A350" t="s">
        <v>47</v>
      </c>
      <c r="B350" s="2">
        <v>44896</v>
      </c>
      <c r="C350" s="2">
        <v>44866</v>
      </c>
      <c r="D350" s="2">
        <v>44973</v>
      </c>
      <c r="E350">
        <v>78253972</v>
      </c>
      <c r="F350">
        <v>78445457</v>
      </c>
      <c r="G350">
        <v>191485</v>
      </c>
      <c r="H350">
        <v>92.19</v>
      </c>
      <c r="I350">
        <v>560000</v>
      </c>
      <c r="J350" t="s">
        <v>29</v>
      </c>
      <c r="K350">
        <v>53.15</v>
      </c>
      <c r="L350">
        <v>53.71</v>
      </c>
      <c r="M350">
        <v>27429986</v>
      </c>
      <c r="N350">
        <v>27579698</v>
      </c>
      <c r="O350">
        <v>271</v>
      </c>
      <c r="P350">
        <v>269</v>
      </c>
      <c r="Q350">
        <v>17288073</v>
      </c>
      <c r="R350">
        <v>17142543</v>
      </c>
      <c r="S350">
        <v>9538723</v>
      </c>
      <c r="T350">
        <v>9643192</v>
      </c>
      <c r="U350">
        <v>82002</v>
      </c>
      <c r="V350">
        <v>98287</v>
      </c>
      <c r="W350">
        <v>0</v>
      </c>
      <c r="X350">
        <v>0</v>
      </c>
      <c r="Y350">
        <v>23914917</v>
      </c>
      <c r="Z350">
        <v>23981468</v>
      </c>
      <c r="AA350">
        <f t="shared" si="11"/>
        <v>-145530</v>
      </c>
      <c r="AB350">
        <f t="shared" si="10"/>
        <v>-0.84179422426085315</v>
      </c>
    </row>
    <row r="351" spans="1:28">
      <c r="A351" t="s">
        <v>48</v>
      </c>
      <c r="B351" s="2">
        <v>44896</v>
      </c>
      <c r="C351" s="2">
        <v>44866</v>
      </c>
      <c r="D351" s="2">
        <v>44973</v>
      </c>
      <c r="E351">
        <v>100285553</v>
      </c>
      <c r="F351">
        <v>99870466</v>
      </c>
      <c r="G351">
        <v>-415087</v>
      </c>
      <c r="H351">
        <v>87.73</v>
      </c>
      <c r="I351">
        <v>1710000</v>
      </c>
      <c r="J351" t="s">
        <v>29</v>
      </c>
      <c r="K351">
        <v>64.34</v>
      </c>
      <c r="L351">
        <v>66.05</v>
      </c>
      <c r="M351">
        <v>36188001</v>
      </c>
      <c r="N351">
        <v>36435124</v>
      </c>
      <c r="O351">
        <v>0</v>
      </c>
      <c r="P351">
        <v>0</v>
      </c>
      <c r="Q351">
        <v>19299489</v>
      </c>
      <c r="R351">
        <v>19023762</v>
      </c>
      <c r="S351">
        <v>9786103</v>
      </c>
      <c r="T351">
        <v>9436080</v>
      </c>
      <c r="U351">
        <v>0</v>
      </c>
      <c r="V351">
        <v>0</v>
      </c>
      <c r="W351">
        <v>0</v>
      </c>
      <c r="X351">
        <v>0</v>
      </c>
      <c r="Y351">
        <v>35011960</v>
      </c>
      <c r="Z351">
        <v>34975500</v>
      </c>
      <c r="AA351">
        <f t="shared" si="11"/>
        <v>-275727</v>
      </c>
      <c r="AB351">
        <f t="shared" si="10"/>
        <v>-1.4286751322794091</v>
      </c>
    </row>
    <row r="352" spans="1:28">
      <c r="A352" t="s">
        <v>49</v>
      </c>
      <c r="B352" s="2">
        <v>44896</v>
      </c>
      <c r="C352" s="2">
        <v>44866</v>
      </c>
      <c r="D352" s="2">
        <v>44973</v>
      </c>
      <c r="E352">
        <v>63353614</v>
      </c>
      <c r="F352">
        <v>62972458</v>
      </c>
      <c r="G352">
        <v>-381156</v>
      </c>
      <c r="H352">
        <v>85.98</v>
      </c>
      <c r="I352">
        <v>1280000</v>
      </c>
      <c r="J352" t="s">
        <v>29</v>
      </c>
      <c r="K352">
        <v>50.2</v>
      </c>
      <c r="L352">
        <v>51.48</v>
      </c>
      <c r="M352">
        <v>18596553</v>
      </c>
      <c r="N352">
        <v>18556736</v>
      </c>
      <c r="O352">
        <v>8</v>
      </c>
      <c r="P352">
        <v>8</v>
      </c>
      <c r="Q352">
        <v>17259455</v>
      </c>
      <c r="R352">
        <v>17073244</v>
      </c>
      <c r="S352">
        <v>5615695</v>
      </c>
      <c r="T352">
        <v>5579253</v>
      </c>
      <c r="U352">
        <v>0</v>
      </c>
      <c r="V352">
        <v>0</v>
      </c>
      <c r="W352">
        <v>0</v>
      </c>
      <c r="X352">
        <v>0</v>
      </c>
      <c r="Y352">
        <v>21881903</v>
      </c>
      <c r="Z352">
        <v>21763217</v>
      </c>
      <c r="AA352">
        <f t="shared" si="11"/>
        <v>-186211</v>
      </c>
      <c r="AB352">
        <f t="shared" si="10"/>
        <v>-1.0788926996825798</v>
      </c>
    </row>
    <row r="353" spans="1:28">
      <c r="A353" t="s">
        <v>50</v>
      </c>
      <c r="B353" s="2">
        <v>44896</v>
      </c>
      <c r="C353" s="2">
        <v>44866</v>
      </c>
      <c r="D353" s="2">
        <v>44973</v>
      </c>
      <c r="E353">
        <v>56615692</v>
      </c>
      <c r="F353">
        <v>56469741</v>
      </c>
      <c r="G353">
        <v>-145951</v>
      </c>
      <c r="H353">
        <v>88.12</v>
      </c>
      <c r="I353">
        <v>750000</v>
      </c>
      <c r="J353" t="s">
        <v>29</v>
      </c>
      <c r="K353">
        <v>41.4</v>
      </c>
      <c r="L353">
        <v>42.15</v>
      </c>
      <c r="M353">
        <v>16624598</v>
      </c>
      <c r="N353">
        <v>16717883</v>
      </c>
      <c r="O353">
        <v>151</v>
      </c>
      <c r="P353">
        <v>151</v>
      </c>
      <c r="Q353">
        <v>14804270</v>
      </c>
      <c r="R353">
        <v>14621269</v>
      </c>
      <c r="S353">
        <v>2401996</v>
      </c>
      <c r="T353">
        <v>2405969</v>
      </c>
      <c r="U353">
        <v>0</v>
      </c>
      <c r="V353">
        <v>0</v>
      </c>
      <c r="W353">
        <v>0</v>
      </c>
      <c r="X353">
        <v>0</v>
      </c>
      <c r="Y353">
        <v>22784677</v>
      </c>
      <c r="Z353">
        <v>22724469</v>
      </c>
      <c r="AA353">
        <f t="shared" si="11"/>
        <v>-183001</v>
      </c>
      <c r="AB353">
        <f t="shared" si="10"/>
        <v>-1.2361366011292687</v>
      </c>
    </row>
    <row r="354" spans="1:28">
      <c r="A354" t="s">
        <v>28</v>
      </c>
      <c r="B354" s="2">
        <v>44927</v>
      </c>
      <c r="C354" s="2">
        <v>44896</v>
      </c>
      <c r="D354" s="2">
        <v>45016</v>
      </c>
      <c r="E354">
        <v>82372974</v>
      </c>
      <c r="F354">
        <v>82694550</v>
      </c>
      <c r="G354">
        <v>321576</v>
      </c>
      <c r="H354">
        <v>93.81</v>
      </c>
      <c r="I354">
        <v>630000</v>
      </c>
      <c r="J354" t="s">
        <v>29</v>
      </c>
      <c r="K354">
        <v>56.38</v>
      </c>
      <c r="L354">
        <v>57.01</v>
      </c>
      <c r="M354">
        <v>32163984</v>
      </c>
      <c r="N354">
        <v>32294796</v>
      </c>
      <c r="O354">
        <v>0</v>
      </c>
      <c r="P354">
        <v>0</v>
      </c>
      <c r="Q354">
        <v>12060526</v>
      </c>
      <c r="R354">
        <v>12000139</v>
      </c>
      <c r="S354">
        <v>8156707</v>
      </c>
      <c r="T354">
        <v>8157253</v>
      </c>
      <c r="U354">
        <v>0</v>
      </c>
      <c r="V354">
        <v>0</v>
      </c>
      <c r="W354">
        <v>0</v>
      </c>
      <c r="X354">
        <v>0</v>
      </c>
      <c r="Y354">
        <v>29991757</v>
      </c>
      <c r="Z354">
        <v>30242362</v>
      </c>
      <c r="AA354">
        <f t="shared" si="11"/>
        <v>-60387</v>
      </c>
      <c r="AB354">
        <f t="shared" si="10"/>
        <v>-0.50069955489503526</v>
      </c>
    </row>
    <row r="355" spans="1:28">
      <c r="A355" t="s">
        <v>30</v>
      </c>
      <c r="B355" s="2">
        <v>44927</v>
      </c>
      <c r="C355" s="2">
        <v>44896</v>
      </c>
      <c r="D355" s="2">
        <v>45016</v>
      </c>
      <c r="E355">
        <v>24706775</v>
      </c>
      <c r="F355">
        <v>24815432</v>
      </c>
      <c r="G355">
        <v>108657</v>
      </c>
      <c r="H355">
        <v>94.96</v>
      </c>
      <c r="I355">
        <v>70000</v>
      </c>
      <c r="J355" t="s">
        <v>29</v>
      </c>
      <c r="K355">
        <v>5.59</v>
      </c>
      <c r="L355">
        <v>5.66</v>
      </c>
      <c r="M355">
        <v>10648415</v>
      </c>
      <c r="N355">
        <v>10745881</v>
      </c>
      <c r="O355">
        <v>0</v>
      </c>
      <c r="P355">
        <v>0</v>
      </c>
      <c r="Q355">
        <v>2128563</v>
      </c>
      <c r="R355">
        <v>2032031</v>
      </c>
      <c r="S355">
        <v>3308505</v>
      </c>
      <c r="T355">
        <v>3318740</v>
      </c>
      <c r="U355">
        <v>0</v>
      </c>
      <c r="V355">
        <v>0</v>
      </c>
      <c r="W355">
        <v>0</v>
      </c>
      <c r="X355">
        <v>0</v>
      </c>
      <c r="Y355">
        <v>8621292</v>
      </c>
      <c r="Z355">
        <v>8718780</v>
      </c>
      <c r="AA355">
        <f t="shared" si="11"/>
        <v>-96532</v>
      </c>
      <c r="AB355">
        <f t="shared" si="10"/>
        <v>-4.5350783603774003</v>
      </c>
    </row>
    <row r="356" spans="1:28">
      <c r="A356" t="s">
        <v>31</v>
      </c>
      <c r="B356" s="2">
        <v>44927</v>
      </c>
      <c r="C356" s="2">
        <v>44896</v>
      </c>
      <c r="D356" s="2">
        <v>45016</v>
      </c>
      <c r="E356">
        <v>90874153</v>
      </c>
      <c r="F356">
        <v>90818448</v>
      </c>
      <c r="G356">
        <v>-55705</v>
      </c>
      <c r="H356">
        <v>81.209999999999994</v>
      </c>
      <c r="I356">
        <v>880000</v>
      </c>
      <c r="J356" t="s">
        <v>29</v>
      </c>
      <c r="K356">
        <v>40.840000000000003</v>
      </c>
      <c r="L356">
        <v>41.72</v>
      </c>
      <c r="M356">
        <v>39726581</v>
      </c>
      <c r="N356">
        <v>39833563</v>
      </c>
      <c r="O356">
        <v>0</v>
      </c>
      <c r="P356">
        <v>0</v>
      </c>
      <c r="Q356">
        <v>9195941</v>
      </c>
      <c r="R356">
        <v>9042859</v>
      </c>
      <c r="S356">
        <v>5705175</v>
      </c>
      <c r="T356">
        <v>5748958</v>
      </c>
      <c r="U356">
        <v>0</v>
      </c>
      <c r="V356">
        <v>0</v>
      </c>
      <c r="W356">
        <v>0</v>
      </c>
      <c r="X356">
        <v>0</v>
      </c>
      <c r="Y356">
        <v>36246456</v>
      </c>
      <c r="Z356">
        <v>36193068</v>
      </c>
      <c r="AA356">
        <f t="shared" si="11"/>
        <v>-153082</v>
      </c>
      <c r="AB356">
        <f t="shared" si="10"/>
        <v>-1.6646692274341475</v>
      </c>
    </row>
    <row r="357" spans="1:28">
      <c r="A357" t="s">
        <v>32</v>
      </c>
      <c r="B357" s="2">
        <v>44927</v>
      </c>
      <c r="C357" s="2">
        <v>44896</v>
      </c>
      <c r="D357" s="2">
        <v>45016</v>
      </c>
      <c r="E357">
        <v>53877240</v>
      </c>
      <c r="F357">
        <v>54158375</v>
      </c>
      <c r="G357">
        <v>281135</v>
      </c>
      <c r="H357">
        <v>63.79</v>
      </c>
      <c r="I357">
        <v>630000</v>
      </c>
      <c r="J357" t="s">
        <v>29</v>
      </c>
      <c r="K357">
        <v>37.6</v>
      </c>
      <c r="L357">
        <v>38.229999999999997</v>
      </c>
      <c r="M357">
        <v>16826426</v>
      </c>
      <c r="N357">
        <v>16959252</v>
      </c>
      <c r="O357">
        <v>194</v>
      </c>
      <c r="P357">
        <v>194</v>
      </c>
      <c r="Q357">
        <v>16872359</v>
      </c>
      <c r="R357">
        <v>16918702</v>
      </c>
      <c r="S357">
        <v>0</v>
      </c>
      <c r="T357">
        <v>0</v>
      </c>
      <c r="U357">
        <v>0</v>
      </c>
      <c r="V357">
        <v>0</v>
      </c>
      <c r="W357">
        <v>1690527</v>
      </c>
      <c r="X357">
        <v>1690250</v>
      </c>
      <c r="Y357">
        <v>18487734</v>
      </c>
      <c r="Z357">
        <v>18589977</v>
      </c>
      <c r="AA357">
        <f t="shared" si="11"/>
        <v>46343</v>
      </c>
      <c r="AB357">
        <f t="shared" si="10"/>
        <v>0.27466817177135688</v>
      </c>
    </row>
    <row r="358" spans="1:28">
      <c r="A358" t="s">
        <v>33</v>
      </c>
      <c r="B358" s="2">
        <v>44927</v>
      </c>
      <c r="C358" s="2">
        <v>44896</v>
      </c>
      <c r="D358" s="2">
        <v>45016</v>
      </c>
      <c r="E358">
        <v>66065871</v>
      </c>
      <c r="F358">
        <v>65992666</v>
      </c>
      <c r="G358">
        <v>-73205</v>
      </c>
      <c r="H358">
        <v>93.91</v>
      </c>
      <c r="I358">
        <v>870000</v>
      </c>
      <c r="J358" t="s">
        <v>29</v>
      </c>
      <c r="K358">
        <v>53.36</v>
      </c>
      <c r="L358">
        <v>54.23</v>
      </c>
      <c r="M358">
        <v>11380155</v>
      </c>
      <c r="N358">
        <v>11403475</v>
      </c>
      <c r="O358">
        <v>47</v>
      </c>
      <c r="P358">
        <v>47</v>
      </c>
      <c r="Q358">
        <v>22528058</v>
      </c>
      <c r="R358">
        <v>22448214</v>
      </c>
      <c r="S358">
        <v>5139655</v>
      </c>
      <c r="T358">
        <v>5092727</v>
      </c>
      <c r="U358">
        <v>0</v>
      </c>
      <c r="V358">
        <v>0</v>
      </c>
      <c r="W358">
        <v>0</v>
      </c>
      <c r="X358">
        <v>0</v>
      </c>
      <c r="Y358">
        <v>27017956</v>
      </c>
      <c r="Z358">
        <v>27048203</v>
      </c>
      <c r="AA358">
        <f t="shared" si="11"/>
        <v>-79844</v>
      </c>
      <c r="AB358">
        <f t="shared" si="10"/>
        <v>-0.35442025229160901</v>
      </c>
    </row>
    <row r="359" spans="1:28">
      <c r="A359" t="s">
        <v>34</v>
      </c>
      <c r="B359" s="2">
        <v>44927</v>
      </c>
      <c r="C359" s="2">
        <v>44896</v>
      </c>
      <c r="D359" s="2">
        <v>45016</v>
      </c>
      <c r="E359">
        <v>26702387</v>
      </c>
      <c r="F359">
        <v>26634372</v>
      </c>
      <c r="G359">
        <v>-68015</v>
      </c>
      <c r="H359">
        <v>90.03</v>
      </c>
      <c r="I359">
        <v>340000</v>
      </c>
      <c r="J359" t="s">
        <v>29</v>
      </c>
      <c r="K359">
        <v>25.44</v>
      </c>
      <c r="L359">
        <v>25.78</v>
      </c>
      <c r="M359">
        <v>6489254</v>
      </c>
      <c r="N359">
        <v>6509330</v>
      </c>
      <c r="O359">
        <v>11</v>
      </c>
      <c r="P359">
        <v>11</v>
      </c>
      <c r="Q359">
        <v>7563522</v>
      </c>
      <c r="R359">
        <v>7437444</v>
      </c>
      <c r="S359">
        <v>4621826</v>
      </c>
      <c r="T359">
        <v>4627486</v>
      </c>
      <c r="U359">
        <v>0</v>
      </c>
      <c r="V359">
        <v>0</v>
      </c>
      <c r="W359">
        <v>0</v>
      </c>
      <c r="X359">
        <v>0</v>
      </c>
      <c r="Y359">
        <v>8027774</v>
      </c>
      <c r="Z359">
        <v>8060101</v>
      </c>
      <c r="AA359">
        <f t="shared" si="11"/>
        <v>-126078</v>
      </c>
      <c r="AB359">
        <f t="shared" si="10"/>
        <v>-1.6669218387941491</v>
      </c>
    </row>
    <row r="360" spans="1:28">
      <c r="A360" t="s">
        <v>35</v>
      </c>
      <c r="B360" s="2">
        <v>44927</v>
      </c>
      <c r="C360" s="2">
        <v>44896</v>
      </c>
      <c r="D360" s="2">
        <v>45016</v>
      </c>
      <c r="E360">
        <v>9588735</v>
      </c>
      <c r="F360">
        <v>8818880</v>
      </c>
      <c r="G360">
        <v>-769855</v>
      </c>
      <c r="H360">
        <v>105.68</v>
      </c>
      <c r="I360">
        <v>30000</v>
      </c>
      <c r="J360" t="s">
        <v>29</v>
      </c>
      <c r="K360">
        <v>3.48</v>
      </c>
      <c r="L360">
        <v>3.51</v>
      </c>
      <c r="M360">
        <v>3414229</v>
      </c>
      <c r="N360">
        <v>3409078</v>
      </c>
      <c r="O360">
        <v>92</v>
      </c>
      <c r="P360">
        <v>92</v>
      </c>
      <c r="Q360">
        <v>496145</v>
      </c>
      <c r="R360">
        <v>485406</v>
      </c>
      <c r="S360">
        <v>2391457</v>
      </c>
      <c r="T360">
        <v>1604896</v>
      </c>
      <c r="U360">
        <v>0</v>
      </c>
      <c r="V360">
        <v>0</v>
      </c>
      <c r="W360">
        <v>0</v>
      </c>
      <c r="X360">
        <v>0</v>
      </c>
      <c r="Y360">
        <v>3286812</v>
      </c>
      <c r="Z360">
        <v>3319408</v>
      </c>
      <c r="AA360">
        <f t="shared" si="11"/>
        <v>-10739</v>
      </c>
      <c r="AB360">
        <f t="shared" si="10"/>
        <v>-2.1644882040532507</v>
      </c>
    </row>
    <row r="361" spans="1:28">
      <c r="A361" t="s">
        <v>36</v>
      </c>
      <c r="B361" s="2">
        <v>44927</v>
      </c>
      <c r="C361" s="2">
        <v>44896</v>
      </c>
      <c r="D361" s="2">
        <v>45016</v>
      </c>
      <c r="E361">
        <v>12059318</v>
      </c>
      <c r="F361">
        <v>12042616</v>
      </c>
      <c r="G361">
        <v>-16702</v>
      </c>
      <c r="H361">
        <v>81.08</v>
      </c>
      <c r="I361">
        <v>30000</v>
      </c>
      <c r="J361" t="s">
        <v>29</v>
      </c>
      <c r="K361">
        <v>1.8</v>
      </c>
      <c r="L361">
        <v>1.83</v>
      </c>
      <c r="M361">
        <v>5795811</v>
      </c>
      <c r="N361">
        <v>5765145</v>
      </c>
      <c r="O361">
        <v>0</v>
      </c>
      <c r="P361">
        <v>0</v>
      </c>
      <c r="Q361">
        <v>387466</v>
      </c>
      <c r="R361">
        <v>377611</v>
      </c>
      <c r="S361">
        <v>830350</v>
      </c>
      <c r="T361">
        <v>828725</v>
      </c>
      <c r="U361">
        <v>0</v>
      </c>
      <c r="V361">
        <v>0</v>
      </c>
      <c r="W361">
        <v>0</v>
      </c>
      <c r="X361">
        <v>0</v>
      </c>
      <c r="Y361">
        <v>5045691</v>
      </c>
      <c r="Z361">
        <v>5071135</v>
      </c>
      <c r="AA361">
        <f t="shared" si="11"/>
        <v>-9855</v>
      </c>
      <c r="AB361">
        <f t="shared" si="10"/>
        <v>-2.5434489735873598</v>
      </c>
    </row>
    <row r="362" spans="1:28">
      <c r="A362" t="s">
        <v>37</v>
      </c>
      <c r="B362" s="2">
        <v>44927</v>
      </c>
      <c r="C362" s="2">
        <v>44896</v>
      </c>
      <c r="D362" s="2">
        <v>45016</v>
      </c>
      <c r="E362">
        <v>66308389</v>
      </c>
      <c r="F362">
        <v>66209245</v>
      </c>
      <c r="G362">
        <v>-99144</v>
      </c>
      <c r="H362">
        <v>84.93</v>
      </c>
      <c r="I362">
        <v>570000</v>
      </c>
      <c r="J362" t="s">
        <v>29</v>
      </c>
      <c r="K362">
        <v>58.21</v>
      </c>
      <c r="L362">
        <v>58.78</v>
      </c>
      <c r="M362">
        <v>31169983</v>
      </c>
      <c r="N362">
        <v>31221030</v>
      </c>
      <c r="O362">
        <v>593</v>
      </c>
      <c r="P362">
        <v>593</v>
      </c>
      <c r="Q362">
        <v>7598993</v>
      </c>
      <c r="R362">
        <v>7402281</v>
      </c>
      <c r="S362">
        <v>6492981</v>
      </c>
      <c r="T362">
        <v>6328383</v>
      </c>
      <c r="U362">
        <v>0</v>
      </c>
      <c r="V362">
        <v>0</v>
      </c>
      <c r="W362">
        <v>0</v>
      </c>
      <c r="X362">
        <v>0</v>
      </c>
      <c r="Y362">
        <v>21045839</v>
      </c>
      <c r="Z362">
        <v>21256958</v>
      </c>
      <c r="AA362">
        <f t="shared" si="11"/>
        <v>-196712</v>
      </c>
      <c r="AB362">
        <f t="shared" si="10"/>
        <v>-2.5886587867629305</v>
      </c>
    </row>
    <row r="363" spans="1:28">
      <c r="A363" t="s">
        <v>38</v>
      </c>
      <c r="B363" s="2">
        <v>44927</v>
      </c>
      <c r="C363" s="2">
        <v>44896</v>
      </c>
      <c r="D363" s="2">
        <v>45016</v>
      </c>
      <c r="E363">
        <v>42499452</v>
      </c>
      <c r="F363">
        <v>42574629</v>
      </c>
      <c r="G363">
        <v>75177</v>
      </c>
      <c r="H363">
        <v>93.46</v>
      </c>
      <c r="I363">
        <v>210000</v>
      </c>
      <c r="J363" t="s">
        <v>29</v>
      </c>
      <c r="K363">
        <v>20.25</v>
      </c>
      <c r="L363">
        <v>20.46</v>
      </c>
      <c r="M363">
        <v>7942467</v>
      </c>
      <c r="N363">
        <v>7967440</v>
      </c>
      <c r="O363">
        <v>114</v>
      </c>
      <c r="P363">
        <v>114</v>
      </c>
      <c r="Q363">
        <v>14684250</v>
      </c>
      <c r="R363">
        <v>14660944</v>
      </c>
      <c r="S363">
        <v>9961133</v>
      </c>
      <c r="T363">
        <v>9928898</v>
      </c>
      <c r="U363">
        <v>0</v>
      </c>
      <c r="V363">
        <v>0</v>
      </c>
      <c r="W363">
        <v>0</v>
      </c>
      <c r="X363">
        <v>0</v>
      </c>
      <c r="Y363">
        <v>9911488</v>
      </c>
      <c r="Z363">
        <v>10017233</v>
      </c>
      <c r="AA363">
        <f t="shared" si="11"/>
        <v>-23306</v>
      </c>
      <c r="AB363">
        <f t="shared" si="10"/>
        <v>-0.15871426868924188</v>
      </c>
    </row>
    <row r="364" spans="1:28">
      <c r="A364" t="s">
        <v>39</v>
      </c>
      <c r="B364" s="2">
        <v>44927</v>
      </c>
      <c r="C364" s="2">
        <v>44896</v>
      </c>
      <c r="D364" s="2">
        <v>45016</v>
      </c>
      <c r="E364">
        <v>24000655</v>
      </c>
      <c r="F364">
        <v>24052427</v>
      </c>
      <c r="G364">
        <v>51772</v>
      </c>
      <c r="H364">
        <v>89.04</v>
      </c>
      <c r="I364">
        <v>160000</v>
      </c>
      <c r="J364" t="s">
        <v>29</v>
      </c>
      <c r="K364">
        <v>15.36</v>
      </c>
      <c r="L364">
        <v>15.52</v>
      </c>
      <c r="M364">
        <v>5699449</v>
      </c>
      <c r="N364">
        <v>5690192</v>
      </c>
      <c r="O364">
        <v>0</v>
      </c>
      <c r="P364">
        <v>0</v>
      </c>
      <c r="Q364">
        <v>5876479</v>
      </c>
      <c r="R364">
        <v>5878598</v>
      </c>
      <c r="S364">
        <v>2166601</v>
      </c>
      <c r="T364">
        <v>2174015</v>
      </c>
      <c r="U364">
        <v>0</v>
      </c>
      <c r="V364">
        <v>0</v>
      </c>
      <c r="W364">
        <v>0</v>
      </c>
      <c r="X364">
        <v>0</v>
      </c>
      <c r="Y364">
        <v>10258126</v>
      </c>
      <c r="Z364">
        <v>10309622</v>
      </c>
      <c r="AA364">
        <f t="shared" si="11"/>
        <v>2119</v>
      </c>
      <c r="AB364">
        <f t="shared" si="10"/>
        <v>3.6059007443062417E-2</v>
      </c>
    </row>
    <row r="365" spans="1:28">
      <c r="A365" t="s">
        <v>40</v>
      </c>
      <c r="B365" s="2">
        <v>44927</v>
      </c>
      <c r="C365" s="2">
        <v>44896</v>
      </c>
      <c r="D365" s="2">
        <v>45016</v>
      </c>
      <c r="E365">
        <v>76251364</v>
      </c>
      <c r="F365">
        <v>76423587</v>
      </c>
      <c r="G365">
        <v>172223</v>
      </c>
      <c r="H365">
        <v>85.91</v>
      </c>
      <c r="I365">
        <v>1140000</v>
      </c>
      <c r="J365" t="s">
        <v>29</v>
      </c>
      <c r="K365">
        <v>58.96</v>
      </c>
      <c r="L365">
        <v>60.1</v>
      </c>
      <c r="M365">
        <v>15216078</v>
      </c>
      <c r="N365">
        <v>15247422</v>
      </c>
      <c r="O365">
        <v>0</v>
      </c>
      <c r="P365">
        <v>0</v>
      </c>
      <c r="Q365">
        <v>17368867</v>
      </c>
      <c r="R365">
        <v>17401404</v>
      </c>
      <c r="S365">
        <v>5443063</v>
      </c>
      <c r="T365">
        <v>5412656</v>
      </c>
      <c r="U365">
        <v>0</v>
      </c>
      <c r="V365">
        <v>0</v>
      </c>
      <c r="W365">
        <v>0</v>
      </c>
      <c r="X365">
        <v>0</v>
      </c>
      <c r="Y365">
        <v>38223356</v>
      </c>
      <c r="Z365">
        <v>38362105</v>
      </c>
      <c r="AA365">
        <f t="shared" si="11"/>
        <v>32537</v>
      </c>
      <c r="AB365">
        <f t="shared" si="10"/>
        <v>0.18732943259914422</v>
      </c>
    </row>
    <row r="366" spans="1:28">
      <c r="A366" t="s">
        <v>41</v>
      </c>
      <c r="B366" s="2">
        <v>44927</v>
      </c>
      <c r="C366" s="2">
        <v>44896</v>
      </c>
      <c r="D366" s="2">
        <v>45016</v>
      </c>
      <c r="E366">
        <v>91483756</v>
      </c>
      <c r="F366">
        <v>91583345</v>
      </c>
      <c r="G366">
        <v>99589</v>
      </c>
      <c r="H366">
        <v>89.98</v>
      </c>
      <c r="I366">
        <v>1060000</v>
      </c>
      <c r="J366" t="s">
        <v>29</v>
      </c>
      <c r="K366">
        <v>64.760000000000005</v>
      </c>
      <c r="L366">
        <v>65.819999999999993</v>
      </c>
      <c r="M366">
        <v>20934562</v>
      </c>
      <c r="N366">
        <v>21035277</v>
      </c>
      <c r="O366">
        <v>0</v>
      </c>
      <c r="P366">
        <v>0</v>
      </c>
      <c r="Q366">
        <v>24958114</v>
      </c>
      <c r="R366">
        <v>24809241</v>
      </c>
      <c r="S366">
        <v>6428378</v>
      </c>
      <c r="T366">
        <v>6470806</v>
      </c>
      <c r="U366">
        <v>0</v>
      </c>
      <c r="V366">
        <v>0</v>
      </c>
      <c r="W366">
        <v>0</v>
      </c>
      <c r="X366">
        <v>0</v>
      </c>
      <c r="Y366">
        <v>39162702</v>
      </c>
      <c r="Z366">
        <v>39268021</v>
      </c>
      <c r="AA366">
        <f t="shared" si="11"/>
        <v>-148873</v>
      </c>
      <c r="AB366">
        <f t="shared" si="10"/>
        <v>-0.59649138552696734</v>
      </c>
    </row>
    <row r="367" spans="1:28">
      <c r="A367" t="s">
        <v>42</v>
      </c>
      <c r="B367" s="2">
        <v>44927</v>
      </c>
      <c r="C367" s="2">
        <v>44896</v>
      </c>
      <c r="D367" s="2">
        <v>45016</v>
      </c>
      <c r="E367">
        <v>34020242</v>
      </c>
      <c r="F367">
        <v>34321525</v>
      </c>
      <c r="G367">
        <v>301283</v>
      </c>
      <c r="H367">
        <v>72.66</v>
      </c>
      <c r="I367">
        <v>260000</v>
      </c>
      <c r="J367" t="s">
        <v>29</v>
      </c>
      <c r="K367">
        <v>29.28</v>
      </c>
      <c r="L367">
        <v>29.54</v>
      </c>
      <c r="M367">
        <v>9480918</v>
      </c>
      <c r="N367">
        <v>9768812</v>
      </c>
      <c r="O367">
        <v>1015</v>
      </c>
      <c r="P367">
        <v>1015</v>
      </c>
      <c r="Q367">
        <v>11367552</v>
      </c>
      <c r="R367">
        <v>11240673</v>
      </c>
      <c r="S367">
        <v>0</v>
      </c>
      <c r="T367">
        <v>0</v>
      </c>
      <c r="U367">
        <v>0</v>
      </c>
      <c r="V367">
        <v>0</v>
      </c>
      <c r="W367">
        <v>1068028</v>
      </c>
      <c r="X367">
        <v>1065345</v>
      </c>
      <c r="Y367">
        <v>12102729</v>
      </c>
      <c r="Z367">
        <v>12245680</v>
      </c>
      <c r="AA367">
        <f t="shared" si="11"/>
        <v>-126879</v>
      </c>
      <c r="AB367">
        <f t="shared" si="10"/>
        <v>-1.1161506012904099</v>
      </c>
    </row>
    <row r="368" spans="1:28">
      <c r="A368" t="s">
        <v>43</v>
      </c>
      <c r="B368" s="2">
        <v>44927</v>
      </c>
      <c r="C368" s="2">
        <v>44896</v>
      </c>
      <c r="D368" s="2">
        <v>45016</v>
      </c>
      <c r="E368">
        <v>12128844</v>
      </c>
      <c r="F368">
        <v>12207501</v>
      </c>
      <c r="G368">
        <v>78657</v>
      </c>
      <c r="H368">
        <v>94.78</v>
      </c>
      <c r="I368">
        <v>20000</v>
      </c>
      <c r="J368" t="s">
        <v>29</v>
      </c>
      <c r="K368">
        <v>1.89</v>
      </c>
      <c r="L368">
        <v>1.91</v>
      </c>
      <c r="M368">
        <v>5836711</v>
      </c>
      <c r="N368">
        <v>5859987</v>
      </c>
      <c r="O368">
        <v>0</v>
      </c>
      <c r="P368">
        <v>0</v>
      </c>
      <c r="Q368">
        <v>935069</v>
      </c>
      <c r="R368">
        <v>951893</v>
      </c>
      <c r="S368">
        <v>1373270</v>
      </c>
      <c r="T368">
        <v>1370251</v>
      </c>
      <c r="U368">
        <v>0</v>
      </c>
      <c r="V368">
        <v>0</v>
      </c>
      <c r="W368">
        <v>0</v>
      </c>
      <c r="X368">
        <v>0</v>
      </c>
      <c r="Y368">
        <v>3983794</v>
      </c>
      <c r="Z368">
        <v>4025370</v>
      </c>
      <c r="AA368">
        <f t="shared" si="11"/>
        <v>16824</v>
      </c>
      <c r="AB368">
        <f t="shared" si="10"/>
        <v>1.7992255117002061</v>
      </c>
    </row>
    <row r="369" spans="1:28">
      <c r="A369" t="s">
        <v>44</v>
      </c>
      <c r="B369" s="2">
        <v>44927</v>
      </c>
      <c r="C369" s="2">
        <v>44896</v>
      </c>
      <c r="D369" s="2">
        <v>45016</v>
      </c>
      <c r="E369">
        <v>33287290</v>
      </c>
      <c r="F369">
        <v>33311570</v>
      </c>
      <c r="G369">
        <v>24280</v>
      </c>
      <c r="H369">
        <v>96.17</v>
      </c>
      <c r="I369">
        <v>160000</v>
      </c>
      <c r="J369" t="s">
        <v>29</v>
      </c>
      <c r="K369">
        <v>14.49</v>
      </c>
      <c r="L369">
        <v>14.65</v>
      </c>
      <c r="M369">
        <v>11381082</v>
      </c>
      <c r="N369">
        <v>11308362</v>
      </c>
      <c r="O369">
        <v>29</v>
      </c>
      <c r="P369">
        <v>29</v>
      </c>
      <c r="Q369">
        <v>1647883</v>
      </c>
      <c r="R369">
        <v>1645039</v>
      </c>
      <c r="S369">
        <v>6318998</v>
      </c>
      <c r="T369">
        <v>6306844</v>
      </c>
      <c r="U369">
        <v>0</v>
      </c>
      <c r="V369">
        <v>0</v>
      </c>
      <c r="W369">
        <v>0</v>
      </c>
      <c r="X369">
        <v>0</v>
      </c>
      <c r="Y369">
        <v>13939298</v>
      </c>
      <c r="Z369">
        <v>14051296</v>
      </c>
      <c r="AA369">
        <f t="shared" si="11"/>
        <v>-2844</v>
      </c>
      <c r="AB369">
        <f t="shared" si="10"/>
        <v>-0.17258506823603373</v>
      </c>
    </row>
    <row r="370" spans="1:28">
      <c r="A370" t="s">
        <v>45</v>
      </c>
      <c r="B370" s="2">
        <v>44927</v>
      </c>
      <c r="C370" s="2">
        <v>44896</v>
      </c>
      <c r="D370" s="2">
        <v>45016</v>
      </c>
      <c r="E370">
        <v>35813547</v>
      </c>
      <c r="F370">
        <v>35717458</v>
      </c>
      <c r="G370">
        <v>-96089</v>
      </c>
      <c r="H370">
        <v>91.65</v>
      </c>
      <c r="I370">
        <v>300000</v>
      </c>
      <c r="J370" t="s">
        <v>29</v>
      </c>
      <c r="K370">
        <v>27.78</v>
      </c>
      <c r="L370">
        <v>28.08</v>
      </c>
      <c r="M370">
        <v>12232409</v>
      </c>
      <c r="N370">
        <v>12265174</v>
      </c>
      <c r="O370">
        <v>106</v>
      </c>
      <c r="P370">
        <v>106</v>
      </c>
      <c r="Q370">
        <v>7386768</v>
      </c>
      <c r="R370">
        <v>7308781</v>
      </c>
      <c r="S370">
        <v>4920829</v>
      </c>
      <c r="T370">
        <v>4845070</v>
      </c>
      <c r="U370">
        <v>0</v>
      </c>
      <c r="V370">
        <v>0</v>
      </c>
      <c r="W370">
        <v>0</v>
      </c>
      <c r="X370">
        <v>0</v>
      </c>
      <c r="Y370">
        <v>11273435</v>
      </c>
      <c r="Z370">
        <v>11298327</v>
      </c>
      <c r="AA370">
        <f t="shared" si="11"/>
        <v>-77987</v>
      </c>
      <c r="AB370">
        <f t="shared" si="10"/>
        <v>-1.0557662024853089</v>
      </c>
    </row>
    <row r="371" spans="1:28">
      <c r="A371" t="s">
        <v>46</v>
      </c>
      <c r="B371" s="2">
        <v>44927</v>
      </c>
      <c r="C371" s="2">
        <v>44896</v>
      </c>
      <c r="D371" s="2">
        <v>45016</v>
      </c>
      <c r="E371">
        <v>63126119</v>
      </c>
      <c r="F371">
        <v>63218981</v>
      </c>
      <c r="G371">
        <v>92862</v>
      </c>
      <c r="H371">
        <v>92.12</v>
      </c>
      <c r="I371">
        <v>720000</v>
      </c>
      <c r="J371" t="s">
        <v>29</v>
      </c>
      <c r="K371">
        <v>55.56</v>
      </c>
      <c r="L371">
        <v>56.28</v>
      </c>
      <c r="M371">
        <v>21980740</v>
      </c>
      <c r="N371">
        <v>22148502</v>
      </c>
      <c r="O371">
        <v>155</v>
      </c>
      <c r="P371">
        <v>155</v>
      </c>
      <c r="Q371">
        <v>10406709</v>
      </c>
      <c r="R371">
        <v>10333463</v>
      </c>
      <c r="S371">
        <v>6293169</v>
      </c>
      <c r="T371">
        <v>6233460</v>
      </c>
      <c r="U371">
        <v>0</v>
      </c>
      <c r="V371">
        <v>0</v>
      </c>
      <c r="W371">
        <v>0</v>
      </c>
      <c r="X371">
        <v>0</v>
      </c>
      <c r="Y371">
        <v>24445346</v>
      </c>
      <c r="Z371">
        <v>24503401</v>
      </c>
      <c r="AA371">
        <f t="shared" si="11"/>
        <v>-73246</v>
      </c>
      <c r="AB371">
        <f t="shared" si="10"/>
        <v>-0.70383442066074875</v>
      </c>
    </row>
    <row r="372" spans="1:28">
      <c r="A372" t="s">
        <v>47</v>
      </c>
      <c r="B372" s="2">
        <v>44927</v>
      </c>
      <c r="C372" s="2">
        <v>44896</v>
      </c>
      <c r="D372" s="2">
        <v>45016</v>
      </c>
      <c r="E372">
        <v>78445457</v>
      </c>
      <c r="F372">
        <v>78506093</v>
      </c>
      <c r="G372">
        <v>60636</v>
      </c>
      <c r="H372">
        <v>93.24</v>
      </c>
      <c r="I372">
        <v>500000</v>
      </c>
      <c r="J372" t="s">
        <v>29</v>
      </c>
      <c r="K372">
        <v>53.71</v>
      </c>
      <c r="L372">
        <v>54.21</v>
      </c>
      <c r="M372">
        <v>27579698</v>
      </c>
      <c r="N372">
        <v>27663720</v>
      </c>
      <c r="O372">
        <v>269</v>
      </c>
      <c r="P372">
        <v>269</v>
      </c>
      <c r="Q372">
        <v>17142543</v>
      </c>
      <c r="R372">
        <v>16910521</v>
      </c>
      <c r="S372">
        <v>9643192</v>
      </c>
      <c r="T372">
        <v>9715873</v>
      </c>
      <c r="U372">
        <v>98287</v>
      </c>
      <c r="V372">
        <v>108661</v>
      </c>
      <c r="W372">
        <v>0</v>
      </c>
      <c r="X372">
        <v>0</v>
      </c>
      <c r="Y372">
        <v>23981468</v>
      </c>
      <c r="Z372">
        <v>24107049</v>
      </c>
      <c r="AA372">
        <f t="shared" si="11"/>
        <v>-232022</v>
      </c>
      <c r="AB372">
        <f t="shared" si="10"/>
        <v>-1.3534864693062167</v>
      </c>
    </row>
    <row r="373" spans="1:28">
      <c r="A373" t="s">
        <v>48</v>
      </c>
      <c r="B373" s="2">
        <v>44927</v>
      </c>
      <c r="C373" s="2">
        <v>44896</v>
      </c>
      <c r="D373" s="2">
        <v>45016</v>
      </c>
      <c r="E373">
        <v>99870466</v>
      </c>
      <c r="F373">
        <v>99321716</v>
      </c>
      <c r="G373">
        <v>-548750</v>
      </c>
      <c r="H373">
        <v>86.83</v>
      </c>
      <c r="I373">
        <v>1710000</v>
      </c>
      <c r="J373" t="s">
        <v>29</v>
      </c>
      <c r="K373">
        <v>66.05</v>
      </c>
      <c r="L373">
        <v>67.760000000000005</v>
      </c>
      <c r="M373">
        <v>36435124</v>
      </c>
      <c r="N373">
        <v>36484936</v>
      </c>
      <c r="O373">
        <v>0</v>
      </c>
      <c r="P373">
        <v>0</v>
      </c>
      <c r="Q373">
        <v>19023762</v>
      </c>
      <c r="R373">
        <v>19020934</v>
      </c>
      <c r="S373">
        <v>9436080</v>
      </c>
      <c r="T373">
        <v>9002308</v>
      </c>
      <c r="U373">
        <v>0</v>
      </c>
      <c r="V373">
        <v>0</v>
      </c>
      <c r="W373">
        <v>0</v>
      </c>
      <c r="X373">
        <v>0</v>
      </c>
      <c r="Y373">
        <v>34975500</v>
      </c>
      <c r="Z373">
        <v>34813538</v>
      </c>
      <c r="AA373">
        <f t="shared" si="11"/>
        <v>-2828</v>
      </c>
      <c r="AB373">
        <f t="shared" si="10"/>
        <v>-1.4865619113611702E-2</v>
      </c>
    </row>
    <row r="374" spans="1:28">
      <c r="A374" t="s">
        <v>49</v>
      </c>
      <c r="B374" s="2">
        <v>44927</v>
      </c>
      <c r="C374" s="2">
        <v>44896</v>
      </c>
      <c r="D374" s="2">
        <v>45016</v>
      </c>
      <c r="E374">
        <v>62972458</v>
      </c>
      <c r="F374">
        <v>62907250</v>
      </c>
      <c r="G374">
        <v>-65208</v>
      </c>
      <c r="H374">
        <v>85.96</v>
      </c>
      <c r="I374">
        <v>1340000</v>
      </c>
      <c r="J374" t="s">
        <v>29</v>
      </c>
      <c r="K374">
        <v>51.48</v>
      </c>
      <c r="L374">
        <v>52.82</v>
      </c>
      <c r="M374">
        <v>18556736</v>
      </c>
      <c r="N374">
        <v>18560186</v>
      </c>
      <c r="O374">
        <v>8</v>
      </c>
      <c r="P374">
        <v>8</v>
      </c>
      <c r="Q374">
        <v>17073244</v>
      </c>
      <c r="R374">
        <v>17054469</v>
      </c>
      <c r="S374">
        <v>5579253</v>
      </c>
      <c r="T374">
        <v>5536340</v>
      </c>
      <c r="U374">
        <v>0</v>
      </c>
      <c r="V374">
        <v>0</v>
      </c>
      <c r="W374">
        <v>0</v>
      </c>
      <c r="X374">
        <v>0</v>
      </c>
      <c r="Y374">
        <v>21763217</v>
      </c>
      <c r="Z374">
        <v>21756247</v>
      </c>
      <c r="AA374">
        <f t="shared" si="11"/>
        <v>-18775</v>
      </c>
      <c r="AB374">
        <f t="shared" si="10"/>
        <v>-0.10996738522567825</v>
      </c>
    </row>
    <row r="375" spans="1:28">
      <c r="A375" t="s">
        <v>50</v>
      </c>
      <c r="B375" s="2">
        <v>44927</v>
      </c>
      <c r="C375" s="2">
        <v>44896</v>
      </c>
      <c r="D375" s="2">
        <v>45016</v>
      </c>
      <c r="E375">
        <v>56469741</v>
      </c>
      <c r="F375">
        <v>56690834</v>
      </c>
      <c r="G375">
        <v>221093</v>
      </c>
      <c r="H375">
        <v>88.29</v>
      </c>
      <c r="I375">
        <v>770000</v>
      </c>
      <c r="J375" t="s">
        <v>29</v>
      </c>
      <c r="K375">
        <v>42.15</v>
      </c>
      <c r="L375">
        <v>42.92</v>
      </c>
      <c r="M375">
        <v>16717883</v>
      </c>
      <c r="N375">
        <v>16748957</v>
      </c>
      <c r="O375">
        <v>151</v>
      </c>
      <c r="P375">
        <v>151</v>
      </c>
      <c r="Q375">
        <v>14621269</v>
      </c>
      <c r="R375">
        <v>14603463</v>
      </c>
      <c r="S375">
        <v>2405969</v>
      </c>
      <c r="T375">
        <v>2421457</v>
      </c>
      <c r="U375">
        <v>0</v>
      </c>
      <c r="V375">
        <v>0</v>
      </c>
      <c r="W375">
        <v>0</v>
      </c>
      <c r="X375">
        <v>0</v>
      </c>
      <c r="Y375">
        <v>22724469</v>
      </c>
      <c r="Z375">
        <v>22916806</v>
      </c>
      <c r="AA375">
        <f t="shared" si="11"/>
        <v>-17806</v>
      </c>
      <c r="AB375">
        <f t="shared" si="10"/>
        <v>-0.12178149516297114</v>
      </c>
    </row>
    <row r="376" spans="1:28">
      <c r="A376" t="s">
        <v>28</v>
      </c>
      <c r="B376" s="2">
        <v>44958</v>
      </c>
      <c r="C376" s="2">
        <v>44927</v>
      </c>
      <c r="D376" s="2">
        <v>45057</v>
      </c>
      <c r="E376">
        <v>82694550</v>
      </c>
      <c r="F376">
        <v>82606289</v>
      </c>
      <c r="G376">
        <v>-88261</v>
      </c>
      <c r="H376">
        <v>94.41</v>
      </c>
      <c r="I376">
        <v>570000</v>
      </c>
      <c r="J376" t="s">
        <v>29</v>
      </c>
      <c r="K376">
        <v>57.01</v>
      </c>
      <c r="L376">
        <v>57.58</v>
      </c>
      <c r="M376">
        <v>32294796</v>
      </c>
      <c r="N376">
        <v>32382829</v>
      </c>
      <c r="O376">
        <v>0</v>
      </c>
      <c r="P376">
        <v>0</v>
      </c>
      <c r="Q376">
        <v>12000139</v>
      </c>
      <c r="R376">
        <v>11892711</v>
      </c>
      <c r="S376">
        <v>8157253</v>
      </c>
      <c r="T376">
        <v>8083648</v>
      </c>
      <c r="U376">
        <v>0</v>
      </c>
      <c r="V376">
        <v>0</v>
      </c>
      <c r="W376">
        <v>0</v>
      </c>
      <c r="X376">
        <v>0</v>
      </c>
      <c r="Y376">
        <v>30242362</v>
      </c>
      <c r="Z376">
        <v>30247101</v>
      </c>
      <c r="AA376">
        <f t="shared" si="11"/>
        <v>-107428</v>
      </c>
      <c r="AB376">
        <f t="shared" si="10"/>
        <v>-0.89522296366733745</v>
      </c>
    </row>
    <row r="377" spans="1:28">
      <c r="A377" t="s">
        <v>30</v>
      </c>
      <c r="B377" s="2">
        <v>44958</v>
      </c>
      <c r="C377" s="2">
        <v>44927</v>
      </c>
      <c r="D377" s="2">
        <v>45057</v>
      </c>
      <c r="E377">
        <v>24815432</v>
      </c>
      <c r="F377">
        <v>24975187</v>
      </c>
      <c r="G377">
        <v>159755</v>
      </c>
      <c r="H377">
        <v>95.3</v>
      </c>
      <c r="I377">
        <v>80000</v>
      </c>
      <c r="J377" t="s">
        <v>29</v>
      </c>
      <c r="K377">
        <v>5.66</v>
      </c>
      <c r="L377">
        <v>5.74</v>
      </c>
      <c r="M377">
        <v>10745881</v>
      </c>
      <c r="N377">
        <v>10876301</v>
      </c>
      <c r="O377">
        <v>0</v>
      </c>
      <c r="P377">
        <v>0</v>
      </c>
      <c r="Q377">
        <v>2032031</v>
      </c>
      <c r="R377">
        <v>2014311</v>
      </c>
      <c r="S377">
        <v>3318740</v>
      </c>
      <c r="T377">
        <v>3325153</v>
      </c>
      <c r="U377">
        <v>0</v>
      </c>
      <c r="V377">
        <v>0</v>
      </c>
      <c r="W377">
        <v>0</v>
      </c>
      <c r="X377">
        <v>0</v>
      </c>
      <c r="Y377">
        <v>8718780</v>
      </c>
      <c r="Z377">
        <v>8759422</v>
      </c>
      <c r="AA377">
        <f t="shared" si="11"/>
        <v>-17720</v>
      </c>
      <c r="AB377">
        <f t="shared" si="10"/>
        <v>-0.87203394042708982</v>
      </c>
    </row>
    <row r="378" spans="1:28">
      <c r="A378" t="s">
        <v>31</v>
      </c>
      <c r="B378" s="2">
        <v>44958</v>
      </c>
      <c r="C378" s="2">
        <v>44927</v>
      </c>
      <c r="D378" s="2">
        <v>45057</v>
      </c>
      <c r="E378">
        <v>90818448</v>
      </c>
      <c r="F378">
        <v>90509487</v>
      </c>
      <c r="G378">
        <v>-308961</v>
      </c>
      <c r="H378">
        <v>86.11</v>
      </c>
      <c r="I378">
        <v>770000</v>
      </c>
      <c r="J378" t="s">
        <v>29</v>
      </c>
      <c r="K378">
        <v>41.72</v>
      </c>
      <c r="L378">
        <v>42.49</v>
      </c>
      <c r="M378">
        <v>39833563</v>
      </c>
      <c r="N378">
        <v>39915814</v>
      </c>
      <c r="O378">
        <v>0</v>
      </c>
      <c r="P378">
        <v>0</v>
      </c>
      <c r="Q378">
        <v>9042859</v>
      </c>
      <c r="R378">
        <v>8546733</v>
      </c>
      <c r="S378">
        <v>5748958</v>
      </c>
      <c r="T378">
        <v>5769604</v>
      </c>
      <c r="U378">
        <v>0</v>
      </c>
      <c r="V378">
        <v>0</v>
      </c>
      <c r="W378">
        <v>0</v>
      </c>
      <c r="X378">
        <v>0</v>
      </c>
      <c r="Y378">
        <v>36193068</v>
      </c>
      <c r="Z378">
        <v>36277336</v>
      </c>
      <c r="AA378">
        <f t="shared" si="11"/>
        <v>-496126</v>
      </c>
      <c r="AB378">
        <f t="shared" si="10"/>
        <v>-5.486384339289156</v>
      </c>
    </row>
    <row r="379" spans="1:28">
      <c r="A379" t="s">
        <v>32</v>
      </c>
      <c r="B379" s="2">
        <v>44958</v>
      </c>
      <c r="C379" s="2">
        <v>44927</v>
      </c>
      <c r="D379" s="2">
        <v>45057</v>
      </c>
      <c r="E379">
        <v>54158375</v>
      </c>
      <c r="F379">
        <v>54390561</v>
      </c>
      <c r="G379">
        <v>232186</v>
      </c>
      <c r="H379">
        <v>63.46</v>
      </c>
      <c r="I379">
        <v>560000</v>
      </c>
      <c r="J379" t="s">
        <v>29</v>
      </c>
      <c r="K379">
        <v>38.229999999999997</v>
      </c>
      <c r="L379">
        <v>38.79</v>
      </c>
      <c r="M379">
        <v>16959252</v>
      </c>
      <c r="N379">
        <v>17064890</v>
      </c>
      <c r="O379">
        <v>194</v>
      </c>
      <c r="P379">
        <v>194</v>
      </c>
      <c r="Q379">
        <v>16918702</v>
      </c>
      <c r="R379">
        <v>16892598</v>
      </c>
      <c r="S379">
        <v>0</v>
      </c>
      <c r="T379">
        <v>0</v>
      </c>
      <c r="U379">
        <v>0</v>
      </c>
      <c r="V379">
        <v>0</v>
      </c>
      <c r="W379">
        <v>1690250</v>
      </c>
      <c r="X379">
        <v>1689986</v>
      </c>
      <c r="Y379">
        <v>18589977</v>
      </c>
      <c r="Z379">
        <v>18742893</v>
      </c>
      <c r="AA379">
        <f t="shared" si="11"/>
        <v>-26104</v>
      </c>
      <c r="AB379">
        <f t="shared" si="10"/>
        <v>-0.15429079606697962</v>
      </c>
    </row>
    <row r="380" spans="1:28">
      <c r="A380" t="s">
        <v>33</v>
      </c>
      <c r="B380" s="2">
        <v>44958</v>
      </c>
      <c r="C380" s="2">
        <v>44927</v>
      </c>
      <c r="D380" s="2">
        <v>45057</v>
      </c>
      <c r="E380">
        <v>65992666</v>
      </c>
      <c r="F380">
        <v>65915686</v>
      </c>
      <c r="G380">
        <v>-76980</v>
      </c>
      <c r="H380">
        <v>94.29</v>
      </c>
      <c r="I380">
        <v>770000</v>
      </c>
      <c r="J380" t="s">
        <v>29</v>
      </c>
      <c r="K380">
        <v>54.23</v>
      </c>
      <c r="L380">
        <v>55</v>
      </c>
      <c r="M380">
        <v>11403475</v>
      </c>
      <c r="N380">
        <v>11419809</v>
      </c>
      <c r="O380">
        <v>47</v>
      </c>
      <c r="P380">
        <v>47</v>
      </c>
      <c r="Q380">
        <v>22448214</v>
      </c>
      <c r="R380">
        <v>22241710</v>
      </c>
      <c r="S380">
        <v>5092727</v>
      </c>
      <c r="T380">
        <v>5058071</v>
      </c>
      <c r="U380">
        <v>0</v>
      </c>
      <c r="V380">
        <v>0</v>
      </c>
      <c r="W380">
        <v>0</v>
      </c>
      <c r="X380">
        <v>0</v>
      </c>
      <c r="Y380">
        <v>27048203</v>
      </c>
      <c r="Z380">
        <v>27196049</v>
      </c>
      <c r="AA380">
        <f t="shared" si="11"/>
        <v>-206504</v>
      </c>
      <c r="AB380">
        <f t="shared" si="10"/>
        <v>-0.91991282691798992</v>
      </c>
    </row>
    <row r="381" spans="1:28">
      <c r="A381" t="s">
        <v>34</v>
      </c>
      <c r="B381" s="2">
        <v>44958</v>
      </c>
      <c r="C381" s="2">
        <v>44927</v>
      </c>
      <c r="D381" s="2">
        <v>45057</v>
      </c>
      <c r="E381">
        <v>26634372</v>
      </c>
      <c r="F381">
        <v>26569933</v>
      </c>
      <c r="G381">
        <v>-64439</v>
      </c>
      <c r="H381">
        <v>90.56</v>
      </c>
      <c r="I381">
        <v>330000</v>
      </c>
      <c r="J381" t="s">
        <v>29</v>
      </c>
      <c r="K381">
        <v>25.78</v>
      </c>
      <c r="L381">
        <v>26.11</v>
      </c>
      <c r="M381">
        <v>6509330</v>
      </c>
      <c r="N381">
        <v>6515872</v>
      </c>
      <c r="O381">
        <v>11</v>
      </c>
      <c r="P381">
        <v>11</v>
      </c>
      <c r="Q381">
        <v>7437444</v>
      </c>
      <c r="R381">
        <v>7379979</v>
      </c>
      <c r="S381">
        <v>4627486</v>
      </c>
      <c r="T381">
        <v>4577797</v>
      </c>
      <c r="U381">
        <v>0</v>
      </c>
      <c r="V381">
        <v>0</v>
      </c>
      <c r="W381">
        <v>0</v>
      </c>
      <c r="X381">
        <v>0</v>
      </c>
      <c r="Y381">
        <v>8060101</v>
      </c>
      <c r="Z381">
        <v>8096274</v>
      </c>
      <c r="AA381">
        <f t="shared" si="11"/>
        <v>-57465</v>
      </c>
      <c r="AB381">
        <f t="shared" si="10"/>
        <v>-0.77264447302056993</v>
      </c>
    </row>
    <row r="382" spans="1:28">
      <c r="A382" t="s">
        <v>35</v>
      </c>
      <c r="B382" s="2">
        <v>44958</v>
      </c>
      <c r="C382" s="2">
        <v>44927</v>
      </c>
      <c r="D382" s="2">
        <v>45057</v>
      </c>
      <c r="E382">
        <v>8818880</v>
      </c>
      <c r="F382">
        <v>8769605</v>
      </c>
      <c r="G382">
        <v>-49275</v>
      </c>
      <c r="H382">
        <v>97.94</v>
      </c>
      <c r="I382">
        <v>50000</v>
      </c>
      <c r="J382" t="s">
        <v>29</v>
      </c>
      <c r="K382">
        <v>3.51</v>
      </c>
      <c r="L382">
        <v>3.56</v>
      </c>
      <c r="M382">
        <v>3409078</v>
      </c>
      <c r="N382">
        <v>3405349</v>
      </c>
      <c r="O382">
        <v>92</v>
      </c>
      <c r="P382">
        <v>92</v>
      </c>
      <c r="Q382">
        <v>485406</v>
      </c>
      <c r="R382">
        <v>480781</v>
      </c>
      <c r="S382">
        <v>1604896</v>
      </c>
      <c r="T382">
        <v>1580346</v>
      </c>
      <c r="U382">
        <v>0</v>
      </c>
      <c r="V382">
        <v>0</v>
      </c>
      <c r="W382">
        <v>0</v>
      </c>
      <c r="X382">
        <v>0</v>
      </c>
      <c r="Y382">
        <v>3319408</v>
      </c>
      <c r="Z382">
        <v>3303037</v>
      </c>
      <c r="AA382">
        <f t="shared" si="11"/>
        <v>-4625</v>
      </c>
      <c r="AB382">
        <f t="shared" si="10"/>
        <v>-0.95281063686893031</v>
      </c>
    </row>
    <row r="383" spans="1:28">
      <c r="A383" t="s">
        <v>36</v>
      </c>
      <c r="B383" s="2">
        <v>44958</v>
      </c>
      <c r="C383" s="2">
        <v>44927</v>
      </c>
      <c r="D383" s="2">
        <v>45057</v>
      </c>
      <c r="E383">
        <v>12042616</v>
      </c>
      <c r="F383">
        <v>11970951</v>
      </c>
      <c r="G383">
        <v>-71665</v>
      </c>
      <c r="H383">
        <v>81.47</v>
      </c>
      <c r="I383">
        <v>30000</v>
      </c>
      <c r="J383" t="s">
        <v>29</v>
      </c>
      <c r="K383">
        <v>1.83</v>
      </c>
      <c r="L383">
        <v>1.86</v>
      </c>
      <c r="M383">
        <v>5765145</v>
      </c>
      <c r="N383">
        <v>5750880</v>
      </c>
      <c r="O383">
        <v>0</v>
      </c>
      <c r="P383">
        <v>0</v>
      </c>
      <c r="Q383">
        <v>377611</v>
      </c>
      <c r="R383">
        <v>367587</v>
      </c>
      <c r="S383">
        <v>828725</v>
      </c>
      <c r="T383">
        <v>827909</v>
      </c>
      <c r="U383">
        <v>0</v>
      </c>
      <c r="V383">
        <v>0</v>
      </c>
      <c r="W383">
        <v>0</v>
      </c>
      <c r="X383">
        <v>0</v>
      </c>
      <c r="Y383">
        <v>5071135</v>
      </c>
      <c r="Z383">
        <v>5024575</v>
      </c>
      <c r="AA383">
        <f t="shared" si="11"/>
        <v>-10024</v>
      </c>
      <c r="AB383">
        <f t="shared" si="10"/>
        <v>-2.6545836853269633</v>
      </c>
    </row>
    <row r="384" spans="1:28">
      <c r="A384" t="s">
        <v>37</v>
      </c>
      <c r="B384" s="2">
        <v>44958</v>
      </c>
      <c r="C384" s="2">
        <v>44927</v>
      </c>
      <c r="D384" s="2">
        <v>45057</v>
      </c>
      <c r="E384">
        <v>66209245</v>
      </c>
      <c r="F384">
        <v>66073602</v>
      </c>
      <c r="G384">
        <v>-135643</v>
      </c>
      <c r="H384">
        <v>85.24</v>
      </c>
      <c r="I384">
        <v>540000</v>
      </c>
      <c r="J384" t="s">
        <v>29</v>
      </c>
      <c r="K384">
        <v>58.78</v>
      </c>
      <c r="L384">
        <v>59.32</v>
      </c>
      <c r="M384">
        <v>31221030</v>
      </c>
      <c r="N384">
        <v>31223176</v>
      </c>
      <c r="O384">
        <v>593</v>
      </c>
      <c r="P384">
        <v>593</v>
      </c>
      <c r="Q384">
        <v>7402281</v>
      </c>
      <c r="R384">
        <v>7321249</v>
      </c>
      <c r="S384">
        <v>6328383</v>
      </c>
      <c r="T384">
        <v>6193288</v>
      </c>
      <c r="U384">
        <v>0</v>
      </c>
      <c r="V384">
        <v>0</v>
      </c>
      <c r="W384">
        <v>0</v>
      </c>
      <c r="X384">
        <v>0</v>
      </c>
      <c r="Y384">
        <v>21256958</v>
      </c>
      <c r="Z384">
        <v>21335296</v>
      </c>
      <c r="AA384">
        <f t="shared" si="11"/>
        <v>-81032</v>
      </c>
      <c r="AB384">
        <f t="shared" si="10"/>
        <v>-1.0946895963555017</v>
      </c>
    </row>
    <row r="385" spans="1:28">
      <c r="A385" t="s">
        <v>38</v>
      </c>
      <c r="B385" s="2">
        <v>44958</v>
      </c>
      <c r="C385" s="2">
        <v>44927</v>
      </c>
      <c r="D385" s="2">
        <v>45057</v>
      </c>
      <c r="E385">
        <v>42574629</v>
      </c>
      <c r="F385">
        <v>42534493</v>
      </c>
      <c r="G385">
        <v>-40136</v>
      </c>
      <c r="H385">
        <v>93.1</v>
      </c>
      <c r="I385">
        <v>180000</v>
      </c>
      <c r="J385" t="s">
        <v>29</v>
      </c>
      <c r="K385">
        <v>20.46</v>
      </c>
      <c r="L385">
        <v>20.64</v>
      </c>
      <c r="M385">
        <v>7967440</v>
      </c>
      <c r="N385">
        <v>7986929</v>
      </c>
      <c r="O385">
        <v>114</v>
      </c>
      <c r="P385">
        <v>114</v>
      </c>
      <c r="Q385">
        <v>14660944</v>
      </c>
      <c r="R385">
        <v>14593288</v>
      </c>
      <c r="S385">
        <v>9928898</v>
      </c>
      <c r="T385">
        <v>9927452</v>
      </c>
      <c r="U385">
        <v>0</v>
      </c>
      <c r="V385">
        <v>0</v>
      </c>
      <c r="W385">
        <v>0</v>
      </c>
      <c r="X385">
        <v>0</v>
      </c>
      <c r="Y385">
        <v>10017233</v>
      </c>
      <c r="Z385">
        <v>10026710</v>
      </c>
      <c r="AA385">
        <f t="shared" si="11"/>
        <v>-67656</v>
      </c>
      <c r="AB385">
        <f t="shared" si="10"/>
        <v>-0.46147096667172316</v>
      </c>
    </row>
    <row r="386" spans="1:28">
      <c r="A386" t="s">
        <v>39</v>
      </c>
      <c r="B386" s="2">
        <v>44958</v>
      </c>
      <c r="C386" s="2">
        <v>44927</v>
      </c>
      <c r="D386" s="2">
        <v>45057</v>
      </c>
      <c r="E386">
        <v>24052427</v>
      </c>
      <c r="F386">
        <v>24089881</v>
      </c>
      <c r="G386">
        <v>37454</v>
      </c>
      <c r="H386">
        <v>88.85</v>
      </c>
      <c r="I386">
        <v>160000</v>
      </c>
      <c r="J386" t="s">
        <v>29</v>
      </c>
      <c r="K386">
        <v>15.52</v>
      </c>
      <c r="L386">
        <v>15.68</v>
      </c>
      <c r="M386">
        <v>5690192</v>
      </c>
      <c r="N386">
        <v>5702909</v>
      </c>
      <c r="O386">
        <v>0</v>
      </c>
      <c r="P386">
        <v>0</v>
      </c>
      <c r="Q386">
        <v>5878598</v>
      </c>
      <c r="R386">
        <v>5865376</v>
      </c>
      <c r="S386">
        <v>2174015</v>
      </c>
      <c r="T386">
        <v>2178779</v>
      </c>
      <c r="U386">
        <v>0</v>
      </c>
      <c r="V386">
        <v>0</v>
      </c>
      <c r="W386">
        <v>0</v>
      </c>
      <c r="X386">
        <v>0</v>
      </c>
      <c r="Y386">
        <v>10309622</v>
      </c>
      <c r="Z386">
        <v>10342817</v>
      </c>
      <c r="AA386">
        <f t="shared" si="11"/>
        <v>-13222</v>
      </c>
      <c r="AB386">
        <f t="shared" si="10"/>
        <v>-0.22491757388411318</v>
      </c>
    </row>
    <row r="387" spans="1:28">
      <c r="A387" t="s">
        <v>40</v>
      </c>
      <c r="B387" s="2">
        <v>44958</v>
      </c>
      <c r="C387" s="2">
        <v>44927</v>
      </c>
      <c r="D387" s="2">
        <v>45057</v>
      </c>
      <c r="E387">
        <v>76423587</v>
      </c>
      <c r="F387">
        <v>76408557</v>
      </c>
      <c r="G387">
        <v>-15030</v>
      </c>
      <c r="H387">
        <v>86.35</v>
      </c>
      <c r="I387">
        <v>1020000</v>
      </c>
      <c r="J387" t="s">
        <v>29</v>
      </c>
      <c r="K387">
        <v>60.1</v>
      </c>
      <c r="L387">
        <v>61.12</v>
      </c>
      <c r="M387">
        <v>15247422</v>
      </c>
      <c r="N387">
        <v>15336981</v>
      </c>
      <c r="O387">
        <v>0</v>
      </c>
      <c r="P387">
        <v>0</v>
      </c>
      <c r="Q387">
        <v>17401404</v>
      </c>
      <c r="R387">
        <v>17262577</v>
      </c>
      <c r="S387">
        <v>5412656</v>
      </c>
      <c r="T387">
        <v>5357338</v>
      </c>
      <c r="U387">
        <v>0</v>
      </c>
      <c r="V387">
        <v>0</v>
      </c>
      <c r="W387">
        <v>0</v>
      </c>
      <c r="X387">
        <v>0</v>
      </c>
      <c r="Y387">
        <v>38362105</v>
      </c>
      <c r="Z387">
        <v>38451661</v>
      </c>
      <c r="AA387">
        <f t="shared" si="11"/>
        <v>-138827</v>
      </c>
      <c r="AB387">
        <f t="shared" ref="AB387:AB450" si="12">(($R387-$Q387)/$Q387)*100</f>
        <v>-0.79779194828187427</v>
      </c>
    </row>
    <row r="388" spans="1:28">
      <c r="A388" t="s">
        <v>41</v>
      </c>
      <c r="B388" s="2">
        <v>44958</v>
      </c>
      <c r="C388" s="2">
        <v>44927</v>
      </c>
      <c r="D388" s="2">
        <v>45057</v>
      </c>
      <c r="E388">
        <v>91583345</v>
      </c>
      <c r="F388">
        <v>91323910</v>
      </c>
      <c r="G388">
        <v>-259435</v>
      </c>
      <c r="H388">
        <v>90.38</v>
      </c>
      <c r="I388">
        <v>920000</v>
      </c>
      <c r="J388" t="s">
        <v>29</v>
      </c>
      <c r="K388">
        <v>65.819999999999993</v>
      </c>
      <c r="L388">
        <v>66.739999999999995</v>
      </c>
      <c r="M388">
        <v>21035277</v>
      </c>
      <c r="N388">
        <v>21075856</v>
      </c>
      <c r="O388">
        <v>0</v>
      </c>
      <c r="P388">
        <v>0</v>
      </c>
      <c r="Q388">
        <v>24809241</v>
      </c>
      <c r="R388">
        <v>24488946</v>
      </c>
      <c r="S388">
        <v>6470806</v>
      </c>
      <c r="T388">
        <v>6385821</v>
      </c>
      <c r="U388">
        <v>0</v>
      </c>
      <c r="V388">
        <v>0</v>
      </c>
      <c r="W388">
        <v>0</v>
      </c>
      <c r="X388">
        <v>0</v>
      </c>
      <c r="Y388">
        <v>39268021</v>
      </c>
      <c r="Z388">
        <v>39373287</v>
      </c>
      <c r="AA388">
        <f t="shared" ref="AA388:AA451" si="13">$R388-$Q388</f>
        <v>-320295</v>
      </c>
      <c r="AB388">
        <f t="shared" si="12"/>
        <v>-1.2910310315418356</v>
      </c>
    </row>
    <row r="389" spans="1:28">
      <c r="A389" t="s">
        <v>42</v>
      </c>
      <c r="B389" s="2">
        <v>44958</v>
      </c>
      <c r="C389" s="2">
        <v>44927</v>
      </c>
      <c r="D389" s="2">
        <v>45057</v>
      </c>
      <c r="E389">
        <v>34321525</v>
      </c>
      <c r="F389">
        <v>34479108</v>
      </c>
      <c r="G389">
        <v>157583</v>
      </c>
      <c r="H389">
        <v>71.19</v>
      </c>
      <c r="I389">
        <v>250000</v>
      </c>
      <c r="J389" t="s">
        <v>29</v>
      </c>
      <c r="K389">
        <v>29.54</v>
      </c>
      <c r="L389">
        <v>29.79</v>
      </c>
      <c r="M389">
        <v>9768812</v>
      </c>
      <c r="N389">
        <v>9839424</v>
      </c>
      <c r="O389">
        <v>1015</v>
      </c>
      <c r="P389">
        <v>1014</v>
      </c>
      <c r="Q389">
        <v>11240673</v>
      </c>
      <c r="R389">
        <v>11370449</v>
      </c>
      <c r="S389">
        <v>0</v>
      </c>
      <c r="T389">
        <v>0</v>
      </c>
      <c r="U389">
        <v>0</v>
      </c>
      <c r="V389">
        <v>0</v>
      </c>
      <c r="W389">
        <v>1065345</v>
      </c>
      <c r="X389">
        <v>1062877</v>
      </c>
      <c r="Y389">
        <v>12245680</v>
      </c>
      <c r="Z389">
        <v>12205344</v>
      </c>
      <c r="AA389">
        <f t="shared" si="13"/>
        <v>129776</v>
      </c>
      <c r="AB389">
        <f t="shared" si="12"/>
        <v>1.154521619835396</v>
      </c>
    </row>
    <row r="390" spans="1:28">
      <c r="A390" t="s">
        <v>43</v>
      </c>
      <c r="B390" s="2">
        <v>44958</v>
      </c>
      <c r="C390" s="2">
        <v>44927</v>
      </c>
      <c r="D390" s="2">
        <v>45057</v>
      </c>
      <c r="E390">
        <v>12207501</v>
      </c>
      <c r="F390">
        <v>12231015</v>
      </c>
      <c r="G390">
        <v>23514</v>
      </c>
      <c r="H390">
        <v>94.58</v>
      </c>
      <c r="I390">
        <v>10000</v>
      </c>
      <c r="J390" t="s">
        <v>29</v>
      </c>
      <c r="K390">
        <v>1.91</v>
      </c>
      <c r="L390">
        <v>1.92</v>
      </c>
      <c r="M390">
        <v>5859987</v>
      </c>
      <c r="N390">
        <v>5895394</v>
      </c>
      <c r="O390">
        <v>0</v>
      </c>
      <c r="P390">
        <v>0</v>
      </c>
      <c r="Q390">
        <v>951893</v>
      </c>
      <c r="R390">
        <v>945983</v>
      </c>
      <c r="S390">
        <v>1370251</v>
      </c>
      <c r="T390">
        <v>1367171</v>
      </c>
      <c r="U390">
        <v>0</v>
      </c>
      <c r="V390">
        <v>0</v>
      </c>
      <c r="W390">
        <v>0</v>
      </c>
      <c r="X390">
        <v>0</v>
      </c>
      <c r="Y390">
        <v>4025370</v>
      </c>
      <c r="Z390">
        <v>4022467</v>
      </c>
      <c r="AA390">
        <f t="shared" si="13"/>
        <v>-5910</v>
      </c>
      <c r="AB390">
        <f t="shared" si="12"/>
        <v>-0.62086810177194285</v>
      </c>
    </row>
    <row r="391" spans="1:28">
      <c r="A391" t="s">
        <v>44</v>
      </c>
      <c r="B391" s="2">
        <v>44958</v>
      </c>
      <c r="C391" s="2">
        <v>44927</v>
      </c>
      <c r="D391" s="2">
        <v>45057</v>
      </c>
      <c r="E391">
        <v>33311570</v>
      </c>
      <c r="F391">
        <v>33049471</v>
      </c>
      <c r="G391">
        <v>-262099</v>
      </c>
      <c r="H391">
        <v>96.42</v>
      </c>
      <c r="I391">
        <v>150000</v>
      </c>
      <c r="J391" t="s">
        <v>29</v>
      </c>
      <c r="K391">
        <v>14.65</v>
      </c>
      <c r="L391">
        <v>14.8</v>
      </c>
      <c r="M391">
        <v>11308362</v>
      </c>
      <c r="N391">
        <v>11165546</v>
      </c>
      <c r="O391">
        <v>29</v>
      </c>
      <c r="P391">
        <v>29</v>
      </c>
      <c r="Q391">
        <v>1645039</v>
      </c>
      <c r="R391">
        <v>1638594</v>
      </c>
      <c r="S391">
        <v>6306844</v>
      </c>
      <c r="T391">
        <v>6222700</v>
      </c>
      <c r="U391">
        <v>0</v>
      </c>
      <c r="V391">
        <v>0</v>
      </c>
      <c r="W391">
        <v>0</v>
      </c>
      <c r="X391">
        <v>0</v>
      </c>
      <c r="Y391">
        <v>14051296</v>
      </c>
      <c r="Z391">
        <v>14022602</v>
      </c>
      <c r="AA391">
        <f t="shared" si="13"/>
        <v>-6445</v>
      </c>
      <c r="AB391">
        <f t="shared" si="12"/>
        <v>-0.3917840245732776</v>
      </c>
    </row>
    <row r="392" spans="1:28">
      <c r="A392" t="s">
        <v>45</v>
      </c>
      <c r="B392" s="2">
        <v>44958</v>
      </c>
      <c r="C392" s="2">
        <v>44927</v>
      </c>
      <c r="D392" s="2">
        <v>45057</v>
      </c>
      <c r="E392">
        <v>35717458</v>
      </c>
      <c r="F392">
        <v>35669021</v>
      </c>
      <c r="G392">
        <v>-48437</v>
      </c>
      <c r="H392">
        <v>92.06</v>
      </c>
      <c r="I392">
        <v>300000</v>
      </c>
      <c r="J392" t="s">
        <v>29</v>
      </c>
      <c r="K392">
        <v>28.08</v>
      </c>
      <c r="L392">
        <v>28.38</v>
      </c>
      <c r="M392">
        <v>12265174</v>
      </c>
      <c r="N392">
        <v>12287266</v>
      </c>
      <c r="O392">
        <v>106</v>
      </c>
      <c r="P392">
        <v>106</v>
      </c>
      <c r="Q392">
        <v>7308781</v>
      </c>
      <c r="R392">
        <v>7259383</v>
      </c>
      <c r="S392">
        <v>4845070</v>
      </c>
      <c r="T392">
        <v>4796164</v>
      </c>
      <c r="U392">
        <v>0</v>
      </c>
      <c r="V392">
        <v>0</v>
      </c>
      <c r="W392">
        <v>0</v>
      </c>
      <c r="X392">
        <v>0</v>
      </c>
      <c r="Y392">
        <v>11298327</v>
      </c>
      <c r="Z392">
        <v>11326102</v>
      </c>
      <c r="AA392">
        <f t="shared" si="13"/>
        <v>-49398</v>
      </c>
      <c r="AB392">
        <f t="shared" si="12"/>
        <v>-0.675871940888638</v>
      </c>
    </row>
    <row r="393" spans="1:28">
      <c r="A393" t="s">
        <v>46</v>
      </c>
      <c r="B393" s="2">
        <v>44958</v>
      </c>
      <c r="C393" s="2">
        <v>44927</v>
      </c>
      <c r="D393" s="2">
        <v>45057</v>
      </c>
      <c r="E393">
        <v>63218981</v>
      </c>
      <c r="F393">
        <v>63405532</v>
      </c>
      <c r="G393">
        <v>186551</v>
      </c>
      <c r="H393">
        <v>91.62</v>
      </c>
      <c r="I393">
        <v>630000</v>
      </c>
      <c r="J393" t="s">
        <v>29</v>
      </c>
      <c r="K393">
        <v>56.28</v>
      </c>
      <c r="L393">
        <v>56.91</v>
      </c>
      <c r="M393">
        <v>22148502</v>
      </c>
      <c r="N393">
        <v>22288079</v>
      </c>
      <c r="O393">
        <v>155</v>
      </c>
      <c r="P393">
        <v>155</v>
      </c>
      <c r="Q393">
        <v>10333463</v>
      </c>
      <c r="R393">
        <v>10300552</v>
      </c>
      <c r="S393">
        <v>6233460</v>
      </c>
      <c r="T393">
        <v>6164189</v>
      </c>
      <c r="U393">
        <v>0</v>
      </c>
      <c r="V393">
        <v>0</v>
      </c>
      <c r="W393">
        <v>0</v>
      </c>
      <c r="X393">
        <v>0</v>
      </c>
      <c r="Y393">
        <v>24503401</v>
      </c>
      <c r="Z393">
        <v>24652557</v>
      </c>
      <c r="AA393">
        <f t="shared" si="13"/>
        <v>-32911</v>
      </c>
      <c r="AB393">
        <f t="shared" si="12"/>
        <v>-0.3184895518569138</v>
      </c>
    </row>
    <row r="394" spans="1:28">
      <c r="A394" t="s">
        <v>47</v>
      </c>
      <c r="B394" s="2">
        <v>44958</v>
      </c>
      <c r="C394" s="2">
        <v>44927</v>
      </c>
      <c r="D394" s="2">
        <v>45057</v>
      </c>
      <c r="E394">
        <v>78506093</v>
      </c>
      <c r="F394">
        <v>78568416</v>
      </c>
      <c r="G394">
        <v>62323</v>
      </c>
      <c r="H394">
        <v>93.68</v>
      </c>
      <c r="I394">
        <v>500000</v>
      </c>
      <c r="J394" t="s">
        <v>29</v>
      </c>
      <c r="K394">
        <v>54.21</v>
      </c>
      <c r="L394">
        <v>54.71</v>
      </c>
      <c r="M394">
        <v>27663720</v>
      </c>
      <c r="N394">
        <v>27753090</v>
      </c>
      <c r="O394">
        <v>269</v>
      </c>
      <c r="P394">
        <v>269</v>
      </c>
      <c r="Q394">
        <v>16910521</v>
      </c>
      <c r="R394">
        <v>16790527</v>
      </c>
      <c r="S394">
        <v>9715873</v>
      </c>
      <c r="T394">
        <v>9774447</v>
      </c>
      <c r="U394">
        <v>108661</v>
      </c>
      <c r="V394">
        <v>94104</v>
      </c>
      <c r="W394">
        <v>0</v>
      </c>
      <c r="X394">
        <v>0</v>
      </c>
      <c r="Y394">
        <v>24107049</v>
      </c>
      <c r="Z394">
        <v>24155979</v>
      </c>
      <c r="AA394">
        <f t="shared" si="13"/>
        <v>-119994</v>
      </c>
      <c r="AB394">
        <f t="shared" si="12"/>
        <v>-0.70958192240203599</v>
      </c>
    </row>
    <row r="395" spans="1:28">
      <c r="A395" t="s">
        <v>48</v>
      </c>
      <c r="B395" s="2">
        <v>44958</v>
      </c>
      <c r="C395" s="2">
        <v>44927</v>
      </c>
      <c r="D395" s="2">
        <v>45057</v>
      </c>
      <c r="E395">
        <v>99321716</v>
      </c>
      <c r="F395">
        <v>98987561</v>
      </c>
      <c r="G395">
        <v>-334155</v>
      </c>
      <c r="H395">
        <v>88.58</v>
      </c>
      <c r="I395">
        <v>1490000</v>
      </c>
      <c r="J395" t="s">
        <v>29</v>
      </c>
      <c r="K395">
        <v>67.760000000000005</v>
      </c>
      <c r="L395">
        <v>69.25</v>
      </c>
      <c r="M395">
        <v>36484936</v>
      </c>
      <c r="N395">
        <v>36627036</v>
      </c>
      <c r="O395">
        <v>0</v>
      </c>
      <c r="P395">
        <v>0</v>
      </c>
      <c r="Q395">
        <v>19020934</v>
      </c>
      <c r="R395">
        <v>18806694</v>
      </c>
      <c r="S395">
        <v>9002308</v>
      </c>
      <c r="T395">
        <v>8561096</v>
      </c>
      <c r="U395">
        <v>0</v>
      </c>
      <c r="V395">
        <v>0</v>
      </c>
      <c r="W395">
        <v>0</v>
      </c>
      <c r="X395">
        <v>0</v>
      </c>
      <c r="Y395">
        <v>34813538</v>
      </c>
      <c r="Z395">
        <v>34992735</v>
      </c>
      <c r="AA395">
        <f t="shared" si="13"/>
        <v>-214240</v>
      </c>
      <c r="AB395">
        <f t="shared" si="12"/>
        <v>-1.1263379600602157</v>
      </c>
    </row>
    <row r="396" spans="1:28">
      <c r="A396" t="s">
        <v>49</v>
      </c>
      <c r="B396" s="2">
        <v>44958</v>
      </c>
      <c r="C396" s="2">
        <v>44927</v>
      </c>
      <c r="D396" s="2">
        <v>45057</v>
      </c>
      <c r="E396">
        <v>62907250</v>
      </c>
      <c r="F396">
        <v>62788109</v>
      </c>
      <c r="G396">
        <v>-119141</v>
      </c>
      <c r="H396">
        <v>86.96</v>
      </c>
      <c r="I396">
        <v>1110000</v>
      </c>
      <c r="J396" t="s">
        <v>29</v>
      </c>
      <c r="K396">
        <v>52.82</v>
      </c>
      <c r="L396">
        <v>53.93</v>
      </c>
      <c r="M396">
        <v>18560186</v>
      </c>
      <c r="N396">
        <v>18554765</v>
      </c>
      <c r="O396">
        <v>8</v>
      </c>
      <c r="P396">
        <v>8</v>
      </c>
      <c r="Q396">
        <v>17054469</v>
      </c>
      <c r="R396">
        <v>16925483</v>
      </c>
      <c r="S396">
        <v>5536340</v>
      </c>
      <c r="T396">
        <v>5502874</v>
      </c>
      <c r="U396">
        <v>0</v>
      </c>
      <c r="V396">
        <v>0</v>
      </c>
      <c r="W396">
        <v>0</v>
      </c>
      <c r="X396">
        <v>0</v>
      </c>
      <c r="Y396">
        <v>21756247</v>
      </c>
      <c r="Z396">
        <v>21804979</v>
      </c>
      <c r="AA396">
        <f t="shared" si="13"/>
        <v>-128986</v>
      </c>
      <c r="AB396">
        <f t="shared" si="12"/>
        <v>-0.75631788946345968</v>
      </c>
    </row>
    <row r="397" spans="1:28">
      <c r="A397" t="s">
        <v>50</v>
      </c>
      <c r="B397" s="2">
        <v>44958</v>
      </c>
      <c r="C397" s="2">
        <v>44927</v>
      </c>
      <c r="D397" s="2">
        <v>45057</v>
      </c>
      <c r="E397">
        <v>56690834</v>
      </c>
      <c r="F397">
        <v>56648194</v>
      </c>
      <c r="G397">
        <v>-42640</v>
      </c>
      <c r="H397">
        <v>87.93</v>
      </c>
      <c r="I397">
        <v>750000</v>
      </c>
      <c r="J397" t="s">
        <v>29</v>
      </c>
      <c r="K397">
        <v>42.92</v>
      </c>
      <c r="L397">
        <v>43.67</v>
      </c>
      <c r="M397">
        <v>16748957</v>
      </c>
      <c r="N397">
        <v>16804876</v>
      </c>
      <c r="O397">
        <v>151</v>
      </c>
      <c r="P397">
        <v>151</v>
      </c>
      <c r="Q397">
        <v>14603463</v>
      </c>
      <c r="R397">
        <v>14577211</v>
      </c>
      <c r="S397">
        <v>2421457</v>
      </c>
      <c r="T397">
        <v>2445695</v>
      </c>
      <c r="U397">
        <v>0</v>
      </c>
      <c r="V397">
        <v>0</v>
      </c>
      <c r="W397">
        <v>0</v>
      </c>
      <c r="X397">
        <v>0</v>
      </c>
      <c r="Y397">
        <v>22916806</v>
      </c>
      <c r="Z397">
        <v>22820261</v>
      </c>
      <c r="AA397">
        <f t="shared" si="13"/>
        <v>-26252</v>
      </c>
      <c r="AB397">
        <f t="shared" si="12"/>
        <v>-0.17976558025996986</v>
      </c>
    </row>
    <row r="398" spans="1:28">
      <c r="A398" t="s">
        <v>28</v>
      </c>
      <c r="B398" s="2">
        <v>44986</v>
      </c>
      <c r="C398" s="2">
        <v>44958</v>
      </c>
      <c r="D398" s="2">
        <v>45068</v>
      </c>
      <c r="E398">
        <v>82606289</v>
      </c>
      <c r="F398">
        <v>82449889</v>
      </c>
      <c r="G398">
        <v>-156400</v>
      </c>
      <c r="H398">
        <v>93.55</v>
      </c>
      <c r="I398">
        <v>620000</v>
      </c>
      <c r="J398" t="s">
        <v>29</v>
      </c>
      <c r="K398">
        <v>57.58</v>
      </c>
      <c r="L398">
        <v>58.2</v>
      </c>
      <c r="M398">
        <v>32382829</v>
      </c>
      <c r="N398">
        <v>32404916</v>
      </c>
      <c r="O398">
        <v>0</v>
      </c>
      <c r="P398">
        <v>0</v>
      </c>
      <c r="Q398">
        <v>11892711</v>
      </c>
      <c r="R398">
        <v>11770855</v>
      </c>
      <c r="S398">
        <v>8083648</v>
      </c>
      <c r="T398">
        <v>8010334</v>
      </c>
      <c r="U398">
        <v>0</v>
      </c>
      <c r="V398">
        <v>0</v>
      </c>
      <c r="W398">
        <v>0</v>
      </c>
      <c r="X398">
        <v>0</v>
      </c>
      <c r="Y398">
        <v>30247101</v>
      </c>
      <c r="Z398">
        <v>30263784</v>
      </c>
      <c r="AA398">
        <f t="shared" si="13"/>
        <v>-121856</v>
      </c>
      <c r="AB398">
        <f t="shared" si="12"/>
        <v>-1.0246276059344248</v>
      </c>
    </row>
    <row r="399" spans="1:28">
      <c r="A399" t="s">
        <v>30</v>
      </c>
      <c r="B399" s="2">
        <v>44986</v>
      </c>
      <c r="C399" s="2">
        <v>44958</v>
      </c>
      <c r="D399" s="2">
        <v>45068</v>
      </c>
      <c r="E399">
        <v>24975187</v>
      </c>
      <c r="F399">
        <v>24993855</v>
      </c>
      <c r="G399">
        <v>18668</v>
      </c>
      <c r="H399">
        <v>94.47</v>
      </c>
      <c r="I399">
        <v>80000</v>
      </c>
      <c r="J399" t="s">
        <v>29</v>
      </c>
      <c r="K399">
        <v>5.74</v>
      </c>
      <c r="L399">
        <v>5.82</v>
      </c>
      <c r="M399">
        <v>10876301</v>
      </c>
      <c r="N399">
        <v>11006187</v>
      </c>
      <c r="O399">
        <v>0</v>
      </c>
      <c r="P399">
        <v>0</v>
      </c>
      <c r="Q399">
        <v>2014311</v>
      </c>
      <c r="R399">
        <v>2002622</v>
      </c>
      <c r="S399">
        <v>3325153</v>
      </c>
      <c r="T399">
        <v>3184184</v>
      </c>
      <c r="U399">
        <v>0</v>
      </c>
      <c r="V399">
        <v>0</v>
      </c>
      <c r="W399">
        <v>0</v>
      </c>
      <c r="X399">
        <v>0</v>
      </c>
      <c r="Y399">
        <v>8759422</v>
      </c>
      <c r="Z399">
        <v>8800862</v>
      </c>
      <c r="AA399">
        <f t="shared" si="13"/>
        <v>-11689</v>
      </c>
      <c r="AB399">
        <f t="shared" si="12"/>
        <v>-0.58029767995110981</v>
      </c>
    </row>
    <row r="400" spans="1:28">
      <c r="A400" t="s">
        <v>31</v>
      </c>
      <c r="B400" s="2">
        <v>44986</v>
      </c>
      <c r="C400" s="2">
        <v>44958</v>
      </c>
      <c r="D400" s="2">
        <v>45068</v>
      </c>
      <c r="E400">
        <v>90509487</v>
      </c>
      <c r="F400">
        <v>91220761</v>
      </c>
      <c r="G400">
        <v>711274</v>
      </c>
      <c r="H400">
        <v>89.62</v>
      </c>
      <c r="I400">
        <v>800000</v>
      </c>
      <c r="J400" t="s">
        <v>29</v>
      </c>
      <c r="K400">
        <v>42.49</v>
      </c>
      <c r="L400">
        <v>43.29</v>
      </c>
      <c r="M400">
        <v>39915814</v>
      </c>
      <c r="N400">
        <v>40323738</v>
      </c>
      <c r="O400">
        <v>0</v>
      </c>
      <c r="P400">
        <v>0</v>
      </c>
      <c r="Q400">
        <v>8546733</v>
      </c>
      <c r="R400">
        <v>8393253</v>
      </c>
      <c r="S400">
        <v>5769604</v>
      </c>
      <c r="T400">
        <v>5775195</v>
      </c>
      <c r="U400">
        <v>0</v>
      </c>
      <c r="V400">
        <v>0</v>
      </c>
      <c r="W400">
        <v>0</v>
      </c>
      <c r="X400">
        <v>0</v>
      </c>
      <c r="Y400">
        <v>36277336</v>
      </c>
      <c r="Z400">
        <v>36728575</v>
      </c>
      <c r="AA400">
        <f t="shared" si="13"/>
        <v>-153480</v>
      </c>
      <c r="AB400">
        <f t="shared" si="12"/>
        <v>-1.7957738939545671</v>
      </c>
    </row>
    <row r="401" spans="1:28">
      <c r="A401" t="s">
        <v>32</v>
      </c>
      <c r="B401" s="2">
        <v>44986</v>
      </c>
      <c r="C401" s="2">
        <v>44958</v>
      </c>
      <c r="D401" s="2">
        <v>45068</v>
      </c>
      <c r="E401">
        <v>54390561</v>
      </c>
      <c r="F401">
        <v>54479959</v>
      </c>
      <c r="G401">
        <v>89398</v>
      </c>
      <c r="H401">
        <v>62.26</v>
      </c>
      <c r="I401">
        <v>570000</v>
      </c>
      <c r="J401" t="s">
        <v>29</v>
      </c>
      <c r="K401">
        <v>38.79</v>
      </c>
      <c r="L401">
        <v>39.36</v>
      </c>
      <c r="M401">
        <v>17064890</v>
      </c>
      <c r="N401">
        <v>17103766</v>
      </c>
      <c r="O401">
        <v>194</v>
      </c>
      <c r="P401">
        <v>193</v>
      </c>
      <c r="Q401">
        <v>16892598</v>
      </c>
      <c r="R401">
        <v>16860622</v>
      </c>
      <c r="S401">
        <v>0</v>
      </c>
      <c r="T401">
        <v>0</v>
      </c>
      <c r="U401">
        <v>0</v>
      </c>
      <c r="V401">
        <v>0</v>
      </c>
      <c r="W401">
        <v>1689986</v>
      </c>
      <c r="X401">
        <v>1689688</v>
      </c>
      <c r="Y401">
        <v>18742893</v>
      </c>
      <c r="Z401">
        <v>18825690</v>
      </c>
      <c r="AA401">
        <f t="shared" si="13"/>
        <v>-31976</v>
      </c>
      <c r="AB401">
        <f t="shared" si="12"/>
        <v>-0.18929000737482771</v>
      </c>
    </row>
    <row r="402" spans="1:28">
      <c r="A402" t="s">
        <v>33</v>
      </c>
      <c r="B402" s="2">
        <v>44986</v>
      </c>
      <c r="C402" s="2">
        <v>44958</v>
      </c>
      <c r="D402" s="2">
        <v>45068</v>
      </c>
      <c r="E402">
        <v>65915686</v>
      </c>
      <c r="F402">
        <v>66232119</v>
      </c>
      <c r="G402">
        <v>316433</v>
      </c>
      <c r="H402">
        <v>93.6</v>
      </c>
      <c r="I402">
        <v>800000</v>
      </c>
      <c r="J402" t="s">
        <v>29</v>
      </c>
      <c r="K402">
        <v>55</v>
      </c>
      <c r="L402">
        <v>55.8</v>
      </c>
      <c r="M402">
        <v>11419809</v>
      </c>
      <c r="N402">
        <v>11363192</v>
      </c>
      <c r="O402">
        <v>47</v>
      </c>
      <c r="P402">
        <v>47</v>
      </c>
      <c r="Q402">
        <v>22241710</v>
      </c>
      <c r="R402">
        <v>22217191</v>
      </c>
      <c r="S402">
        <v>5058071</v>
      </c>
      <c r="T402">
        <v>5033390</v>
      </c>
      <c r="U402">
        <v>0</v>
      </c>
      <c r="V402">
        <v>0</v>
      </c>
      <c r="W402">
        <v>0</v>
      </c>
      <c r="X402">
        <v>0</v>
      </c>
      <c r="Y402">
        <v>27196049</v>
      </c>
      <c r="Z402">
        <v>27618299</v>
      </c>
      <c r="AA402">
        <f t="shared" si="13"/>
        <v>-24519</v>
      </c>
      <c r="AB402">
        <f t="shared" si="12"/>
        <v>-0.11023882606148538</v>
      </c>
    </row>
    <row r="403" spans="1:28">
      <c r="A403" t="s">
        <v>34</v>
      </c>
      <c r="B403" s="2">
        <v>44986</v>
      </c>
      <c r="C403" s="2">
        <v>44958</v>
      </c>
      <c r="D403" s="2">
        <v>45068</v>
      </c>
      <c r="E403">
        <v>26569933</v>
      </c>
      <c r="F403">
        <v>26639914</v>
      </c>
      <c r="G403">
        <v>69981</v>
      </c>
      <c r="H403">
        <v>90.74</v>
      </c>
      <c r="I403">
        <v>340000</v>
      </c>
      <c r="J403" t="s">
        <v>29</v>
      </c>
      <c r="K403">
        <v>26.11</v>
      </c>
      <c r="L403">
        <v>26.45</v>
      </c>
      <c r="M403">
        <v>6515872</v>
      </c>
      <c r="N403">
        <v>6553650</v>
      </c>
      <c r="O403">
        <v>11</v>
      </c>
      <c r="P403">
        <v>11</v>
      </c>
      <c r="Q403">
        <v>7379979</v>
      </c>
      <c r="R403">
        <v>7350432</v>
      </c>
      <c r="S403">
        <v>4577797</v>
      </c>
      <c r="T403">
        <v>4565552</v>
      </c>
      <c r="U403">
        <v>0</v>
      </c>
      <c r="V403">
        <v>0</v>
      </c>
      <c r="W403">
        <v>0</v>
      </c>
      <c r="X403">
        <v>0</v>
      </c>
      <c r="Y403">
        <v>8096274</v>
      </c>
      <c r="Z403">
        <v>8170269</v>
      </c>
      <c r="AA403">
        <f t="shared" si="13"/>
        <v>-29547</v>
      </c>
      <c r="AB403">
        <f t="shared" si="12"/>
        <v>-0.40036699291420746</v>
      </c>
    </row>
    <row r="404" spans="1:28">
      <c r="A404" t="s">
        <v>35</v>
      </c>
      <c r="B404" s="2">
        <v>44986</v>
      </c>
      <c r="C404" s="2">
        <v>44958</v>
      </c>
      <c r="D404" s="2">
        <v>45068</v>
      </c>
      <c r="E404">
        <v>8769605</v>
      </c>
      <c r="F404">
        <v>8798443</v>
      </c>
      <c r="G404">
        <v>28838</v>
      </c>
      <c r="H404">
        <v>106.06</v>
      </c>
      <c r="I404">
        <v>50000</v>
      </c>
      <c r="J404" t="s">
        <v>29</v>
      </c>
      <c r="K404">
        <v>3.56</v>
      </c>
      <c r="L404">
        <v>3.61</v>
      </c>
      <c r="M404">
        <v>3405349</v>
      </c>
      <c r="N404">
        <v>3424408</v>
      </c>
      <c r="O404">
        <v>92</v>
      </c>
      <c r="P404">
        <v>92</v>
      </c>
      <c r="Q404">
        <v>480781</v>
      </c>
      <c r="R404">
        <v>468009</v>
      </c>
      <c r="S404">
        <v>1580346</v>
      </c>
      <c r="T404">
        <v>1592496</v>
      </c>
      <c r="U404">
        <v>0</v>
      </c>
      <c r="V404">
        <v>0</v>
      </c>
      <c r="W404">
        <v>0</v>
      </c>
      <c r="X404">
        <v>0</v>
      </c>
      <c r="Y404">
        <v>3303037</v>
      </c>
      <c r="Z404">
        <v>3313438</v>
      </c>
      <c r="AA404">
        <f t="shared" si="13"/>
        <v>-12772</v>
      </c>
      <c r="AB404">
        <f t="shared" si="12"/>
        <v>-2.6565109686114883</v>
      </c>
    </row>
    <row r="405" spans="1:28">
      <c r="A405" t="s">
        <v>36</v>
      </c>
      <c r="B405" s="2">
        <v>44986</v>
      </c>
      <c r="C405" s="2">
        <v>44958</v>
      </c>
      <c r="D405" s="2">
        <v>45068</v>
      </c>
      <c r="E405">
        <v>11970951</v>
      </c>
      <c r="F405">
        <v>12023707</v>
      </c>
      <c r="G405">
        <v>52756</v>
      </c>
      <c r="H405">
        <v>82.29</v>
      </c>
      <c r="I405">
        <v>30000</v>
      </c>
      <c r="J405" t="s">
        <v>29</v>
      </c>
      <c r="K405">
        <v>1.86</v>
      </c>
      <c r="L405">
        <v>1.89</v>
      </c>
      <c r="M405">
        <v>5750880</v>
      </c>
      <c r="N405">
        <v>5788180</v>
      </c>
      <c r="O405">
        <v>0</v>
      </c>
      <c r="P405">
        <v>0</v>
      </c>
      <c r="Q405">
        <v>367587</v>
      </c>
      <c r="R405">
        <v>362900</v>
      </c>
      <c r="S405">
        <v>827909</v>
      </c>
      <c r="T405">
        <v>827594</v>
      </c>
      <c r="U405">
        <v>0</v>
      </c>
      <c r="V405">
        <v>0</v>
      </c>
      <c r="W405">
        <v>0</v>
      </c>
      <c r="X405">
        <v>0</v>
      </c>
      <c r="Y405">
        <v>5024575</v>
      </c>
      <c r="Z405">
        <v>5045033</v>
      </c>
      <c r="AA405">
        <f t="shared" si="13"/>
        <v>-4687</v>
      </c>
      <c r="AB405">
        <f t="shared" si="12"/>
        <v>-1.2750722958102434</v>
      </c>
    </row>
    <row r="406" spans="1:28">
      <c r="A406" t="s">
        <v>37</v>
      </c>
      <c r="B406" s="2">
        <v>44986</v>
      </c>
      <c r="C406" s="2">
        <v>44958</v>
      </c>
      <c r="D406" s="2">
        <v>45068</v>
      </c>
      <c r="E406">
        <v>66073602</v>
      </c>
      <c r="F406">
        <v>65905417</v>
      </c>
      <c r="G406">
        <v>-168185</v>
      </c>
      <c r="H406">
        <v>84.5</v>
      </c>
      <c r="I406">
        <v>590000</v>
      </c>
      <c r="J406" t="s">
        <v>29</v>
      </c>
      <c r="K406">
        <v>59.32</v>
      </c>
      <c r="L406">
        <v>59.91</v>
      </c>
      <c r="M406">
        <v>31223176</v>
      </c>
      <c r="N406">
        <v>31217992</v>
      </c>
      <c r="O406">
        <v>593</v>
      </c>
      <c r="P406">
        <v>589</v>
      </c>
      <c r="Q406">
        <v>7321249</v>
      </c>
      <c r="R406">
        <v>7232272</v>
      </c>
      <c r="S406">
        <v>6193288</v>
      </c>
      <c r="T406">
        <v>5987361</v>
      </c>
      <c r="U406">
        <v>0</v>
      </c>
      <c r="V406">
        <v>0</v>
      </c>
      <c r="W406">
        <v>0</v>
      </c>
      <c r="X406">
        <v>0</v>
      </c>
      <c r="Y406">
        <v>21335296</v>
      </c>
      <c r="Z406">
        <v>21467203</v>
      </c>
      <c r="AA406">
        <f t="shared" si="13"/>
        <v>-88977</v>
      </c>
      <c r="AB406">
        <f t="shared" si="12"/>
        <v>-1.215325417835126</v>
      </c>
    </row>
    <row r="407" spans="1:28">
      <c r="A407" t="s">
        <v>38</v>
      </c>
      <c r="B407" s="2">
        <v>44986</v>
      </c>
      <c r="C407" s="2">
        <v>44958</v>
      </c>
      <c r="D407" s="2">
        <v>45068</v>
      </c>
      <c r="E407">
        <v>42534493</v>
      </c>
      <c r="F407">
        <v>42411116</v>
      </c>
      <c r="G407">
        <v>-123377</v>
      </c>
      <c r="H407">
        <v>93.18</v>
      </c>
      <c r="I407">
        <v>200000</v>
      </c>
      <c r="J407" t="s">
        <v>29</v>
      </c>
      <c r="K407">
        <v>20.64</v>
      </c>
      <c r="L407">
        <v>20.84</v>
      </c>
      <c r="M407">
        <v>7986929</v>
      </c>
      <c r="N407">
        <v>7991307</v>
      </c>
      <c r="O407">
        <v>114</v>
      </c>
      <c r="P407">
        <v>113</v>
      </c>
      <c r="Q407">
        <v>14593288</v>
      </c>
      <c r="R407">
        <v>14470640</v>
      </c>
      <c r="S407">
        <v>9927452</v>
      </c>
      <c r="T407">
        <v>9878402</v>
      </c>
      <c r="U407">
        <v>0</v>
      </c>
      <c r="V407">
        <v>0</v>
      </c>
      <c r="W407">
        <v>0</v>
      </c>
      <c r="X407">
        <v>0</v>
      </c>
      <c r="Y407">
        <v>10026710</v>
      </c>
      <c r="Z407">
        <v>10070654</v>
      </c>
      <c r="AA407">
        <f t="shared" si="13"/>
        <v>-122648</v>
      </c>
      <c r="AB407">
        <f t="shared" si="12"/>
        <v>-0.84044116719960571</v>
      </c>
    </row>
    <row r="408" spans="1:28">
      <c r="A408" t="s">
        <v>39</v>
      </c>
      <c r="B408" s="2">
        <v>44986</v>
      </c>
      <c r="C408" s="2">
        <v>44958</v>
      </c>
      <c r="D408" s="2">
        <v>45068</v>
      </c>
      <c r="E408">
        <v>24089881</v>
      </c>
      <c r="F408">
        <v>24083754</v>
      </c>
      <c r="G408">
        <v>-6127</v>
      </c>
      <c r="H408">
        <v>88.47</v>
      </c>
      <c r="I408">
        <v>170000</v>
      </c>
      <c r="J408" t="s">
        <v>29</v>
      </c>
      <c r="K408">
        <v>15.68</v>
      </c>
      <c r="L408">
        <v>15.85</v>
      </c>
      <c r="M408">
        <v>5702909</v>
      </c>
      <c r="N408">
        <v>5711563</v>
      </c>
      <c r="O408">
        <v>0</v>
      </c>
      <c r="P408">
        <v>0</v>
      </c>
      <c r="Q408">
        <v>5865376</v>
      </c>
      <c r="R408">
        <v>5830683</v>
      </c>
      <c r="S408">
        <v>2178779</v>
      </c>
      <c r="T408">
        <v>2183653</v>
      </c>
      <c r="U408">
        <v>0</v>
      </c>
      <c r="V408">
        <v>0</v>
      </c>
      <c r="W408">
        <v>0</v>
      </c>
      <c r="X408">
        <v>0</v>
      </c>
      <c r="Y408">
        <v>10342817</v>
      </c>
      <c r="Z408">
        <v>10357855</v>
      </c>
      <c r="AA408">
        <f t="shared" si="13"/>
        <v>-34693</v>
      </c>
      <c r="AB408">
        <f t="shared" si="12"/>
        <v>-0.59148808192347768</v>
      </c>
    </row>
    <row r="409" spans="1:28">
      <c r="A409" t="s">
        <v>40</v>
      </c>
      <c r="B409" s="2">
        <v>44986</v>
      </c>
      <c r="C409" s="2">
        <v>44958</v>
      </c>
      <c r="D409" s="2">
        <v>45068</v>
      </c>
      <c r="E409">
        <v>76408557</v>
      </c>
      <c r="F409">
        <v>76671014</v>
      </c>
      <c r="G409">
        <v>262457</v>
      </c>
      <c r="H409">
        <v>86.69</v>
      </c>
      <c r="I409">
        <v>960000</v>
      </c>
      <c r="J409" t="s">
        <v>29</v>
      </c>
      <c r="K409">
        <v>61.12</v>
      </c>
      <c r="L409">
        <v>62.08</v>
      </c>
      <c r="M409">
        <v>15336981</v>
      </c>
      <c r="N409">
        <v>15424526</v>
      </c>
      <c r="O409">
        <v>0</v>
      </c>
      <c r="P409">
        <v>0</v>
      </c>
      <c r="Q409">
        <v>17262577</v>
      </c>
      <c r="R409">
        <v>17190019</v>
      </c>
      <c r="S409">
        <v>5357338</v>
      </c>
      <c r="T409">
        <v>5340998</v>
      </c>
      <c r="U409">
        <v>0</v>
      </c>
      <c r="V409">
        <v>0</v>
      </c>
      <c r="W409">
        <v>0</v>
      </c>
      <c r="X409">
        <v>0</v>
      </c>
      <c r="Y409">
        <v>38451661</v>
      </c>
      <c r="Z409">
        <v>38715471</v>
      </c>
      <c r="AA409">
        <f t="shared" si="13"/>
        <v>-72558</v>
      </c>
      <c r="AB409">
        <f t="shared" si="12"/>
        <v>-0.42031963130417899</v>
      </c>
    </row>
    <row r="410" spans="1:28">
      <c r="A410" t="s">
        <v>41</v>
      </c>
      <c r="B410" s="2">
        <v>44986</v>
      </c>
      <c r="C410" s="2">
        <v>44958</v>
      </c>
      <c r="D410" s="2">
        <v>45068</v>
      </c>
      <c r="E410">
        <v>91323910</v>
      </c>
      <c r="F410">
        <v>91505005</v>
      </c>
      <c r="G410">
        <v>181095</v>
      </c>
      <c r="H410">
        <v>90.76</v>
      </c>
      <c r="I410">
        <v>940000</v>
      </c>
      <c r="J410" t="s">
        <v>29</v>
      </c>
      <c r="K410">
        <v>66.739999999999995</v>
      </c>
      <c r="L410">
        <v>67.680000000000007</v>
      </c>
      <c r="M410">
        <v>21075856</v>
      </c>
      <c r="N410">
        <v>21153731</v>
      </c>
      <c r="O410">
        <v>0</v>
      </c>
      <c r="P410">
        <v>0</v>
      </c>
      <c r="Q410">
        <v>24488946</v>
      </c>
      <c r="R410">
        <v>24401860</v>
      </c>
      <c r="S410">
        <v>6385821</v>
      </c>
      <c r="T410">
        <v>6322365</v>
      </c>
      <c r="U410">
        <v>0</v>
      </c>
      <c r="V410">
        <v>0</v>
      </c>
      <c r="W410">
        <v>0</v>
      </c>
      <c r="X410">
        <v>0</v>
      </c>
      <c r="Y410">
        <v>39373287</v>
      </c>
      <c r="Z410">
        <v>39627049</v>
      </c>
      <c r="AA410">
        <f t="shared" si="13"/>
        <v>-87086</v>
      </c>
      <c r="AB410">
        <f t="shared" si="12"/>
        <v>-0.35561350823346993</v>
      </c>
    </row>
    <row r="411" spans="1:28">
      <c r="A411" t="s">
        <v>42</v>
      </c>
      <c r="B411" s="2">
        <v>44986</v>
      </c>
      <c r="C411" s="2">
        <v>44958</v>
      </c>
      <c r="D411" s="2">
        <v>45068</v>
      </c>
      <c r="E411">
        <v>34479108</v>
      </c>
      <c r="F411">
        <v>34302250</v>
      </c>
      <c r="G411">
        <v>-176858</v>
      </c>
      <c r="H411">
        <v>70.459999999999994</v>
      </c>
      <c r="I411">
        <v>270000</v>
      </c>
      <c r="J411" t="s">
        <v>29</v>
      </c>
      <c r="K411">
        <v>29.79</v>
      </c>
      <c r="L411">
        <v>30.06</v>
      </c>
      <c r="M411">
        <v>9839424</v>
      </c>
      <c r="N411">
        <v>9844278</v>
      </c>
      <c r="O411">
        <v>1014</v>
      </c>
      <c r="P411">
        <v>925</v>
      </c>
      <c r="Q411">
        <v>11370449</v>
      </c>
      <c r="R411">
        <v>11420368</v>
      </c>
      <c r="S411">
        <v>0</v>
      </c>
      <c r="T411">
        <v>0</v>
      </c>
      <c r="U411">
        <v>0</v>
      </c>
      <c r="V411">
        <v>0</v>
      </c>
      <c r="W411">
        <v>1062877</v>
      </c>
      <c r="X411">
        <v>660482</v>
      </c>
      <c r="Y411">
        <v>12205344</v>
      </c>
      <c r="Z411">
        <v>12376197</v>
      </c>
      <c r="AA411">
        <f t="shared" si="13"/>
        <v>49919</v>
      </c>
      <c r="AB411">
        <f t="shared" si="12"/>
        <v>0.43902399984380569</v>
      </c>
    </row>
    <row r="412" spans="1:28">
      <c r="A412" t="s">
        <v>43</v>
      </c>
      <c r="B412" s="2">
        <v>44986</v>
      </c>
      <c r="C412" s="2">
        <v>44958</v>
      </c>
      <c r="D412" s="2">
        <v>45068</v>
      </c>
      <c r="E412">
        <v>12231015</v>
      </c>
      <c r="F412">
        <v>12350504</v>
      </c>
      <c r="G412">
        <v>119489</v>
      </c>
      <c r="H412">
        <v>95.26</v>
      </c>
      <c r="I412">
        <v>20000</v>
      </c>
      <c r="J412" t="s">
        <v>29</v>
      </c>
      <c r="K412">
        <v>1.92</v>
      </c>
      <c r="L412">
        <v>1.94</v>
      </c>
      <c r="M412">
        <v>5895394</v>
      </c>
      <c r="N412">
        <v>5934222</v>
      </c>
      <c r="O412">
        <v>0</v>
      </c>
      <c r="P412">
        <v>0</v>
      </c>
      <c r="Q412">
        <v>945983</v>
      </c>
      <c r="R412">
        <v>941136</v>
      </c>
      <c r="S412">
        <v>1367171</v>
      </c>
      <c r="T412">
        <v>1365085</v>
      </c>
      <c r="U412">
        <v>0</v>
      </c>
      <c r="V412">
        <v>0</v>
      </c>
      <c r="W412">
        <v>0</v>
      </c>
      <c r="X412">
        <v>0</v>
      </c>
      <c r="Y412">
        <v>4022467</v>
      </c>
      <c r="Z412">
        <v>4110061</v>
      </c>
      <c r="AA412">
        <f t="shared" si="13"/>
        <v>-4847</v>
      </c>
      <c r="AB412">
        <f t="shared" si="12"/>
        <v>-0.51237707231525309</v>
      </c>
    </row>
    <row r="413" spans="1:28">
      <c r="A413" t="s">
        <v>44</v>
      </c>
      <c r="B413" s="2">
        <v>44986</v>
      </c>
      <c r="C413" s="2">
        <v>44958</v>
      </c>
      <c r="D413" s="2">
        <v>45068</v>
      </c>
      <c r="E413">
        <v>33049471</v>
      </c>
      <c r="F413">
        <v>33158952</v>
      </c>
      <c r="G413">
        <v>109481</v>
      </c>
      <c r="H413">
        <v>96.66</v>
      </c>
      <c r="I413">
        <v>180000</v>
      </c>
      <c r="J413" t="s">
        <v>29</v>
      </c>
      <c r="K413">
        <v>14.8</v>
      </c>
      <c r="L413">
        <v>14.98</v>
      </c>
      <c r="M413">
        <v>11165546</v>
      </c>
      <c r="N413">
        <v>11185393</v>
      </c>
      <c r="O413">
        <v>29</v>
      </c>
      <c r="P413">
        <v>29</v>
      </c>
      <c r="Q413">
        <v>1638594</v>
      </c>
      <c r="R413">
        <v>1630429</v>
      </c>
      <c r="S413">
        <v>6222700</v>
      </c>
      <c r="T413">
        <v>6223547</v>
      </c>
      <c r="U413">
        <v>0</v>
      </c>
      <c r="V413">
        <v>0</v>
      </c>
      <c r="W413">
        <v>0</v>
      </c>
      <c r="X413">
        <v>0</v>
      </c>
      <c r="Y413">
        <v>14022602</v>
      </c>
      <c r="Z413">
        <v>14119554</v>
      </c>
      <c r="AA413">
        <f t="shared" si="13"/>
        <v>-8165</v>
      </c>
      <c r="AB413">
        <f t="shared" si="12"/>
        <v>-0.49829304879671232</v>
      </c>
    </row>
    <row r="414" spans="1:28">
      <c r="A414" t="s">
        <v>45</v>
      </c>
      <c r="B414" s="2">
        <v>44986</v>
      </c>
      <c r="C414" s="2">
        <v>44958</v>
      </c>
      <c r="D414" s="2">
        <v>45068</v>
      </c>
      <c r="E414">
        <v>35669021</v>
      </c>
      <c r="F414">
        <v>35662853</v>
      </c>
      <c r="G414">
        <v>-6168</v>
      </c>
      <c r="H414">
        <v>92.57</v>
      </c>
      <c r="I414">
        <v>290000</v>
      </c>
      <c r="J414" t="s">
        <v>29</v>
      </c>
      <c r="K414">
        <v>28.38</v>
      </c>
      <c r="L414">
        <v>28.67</v>
      </c>
      <c r="M414">
        <v>12287266</v>
      </c>
      <c r="N414">
        <v>12298603</v>
      </c>
      <c r="O414">
        <v>106</v>
      </c>
      <c r="P414">
        <v>106</v>
      </c>
      <c r="Q414">
        <v>7259383</v>
      </c>
      <c r="R414">
        <v>7185176</v>
      </c>
      <c r="S414">
        <v>4796164</v>
      </c>
      <c r="T414">
        <v>4755245</v>
      </c>
      <c r="U414">
        <v>0</v>
      </c>
      <c r="V414">
        <v>0</v>
      </c>
      <c r="W414">
        <v>0</v>
      </c>
      <c r="X414">
        <v>0</v>
      </c>
      <c r="Y414">
        <v>11326102</v>
      </c>
      <c r="Z414">
        <v>11423723</v>
      </c>
      <c r="AA414">
        <f t="shared" si="13"/>
        <v>-74207</v>
      </c>
      <c r="AB414">
        <f t="shared" si="12"/>
        <v>-1.0222218610038898</v>
      </c>
    </row>
    <row r="415" spans="1:28">
      <c r="A415" t="s">
        <v>46</v>
      </c>
      <c r="B415" s="2">
        <v>44986</v>
      </c>
      <c r="C415" s="2">
        <v>44958</v>
      </c>
      <c r="D415" s="2">
        <v>45068</v>
      </c>
      <c r="E415">
        <v>63405532</v>
      </c>
      <c r="F415">
        <v>63588900</v>
      </c>
      <c r="G415">
        <v>183368</v>
      </c>
      <c r="H415">
        <v>91.67</v>
      </c>
      <c r="I415">
        <v>710000</v>
      </c>
      <c r="J415" t="s">
        <v>29</v>
      </c>
      <c r="K415">
        <v>56.91</v>
      </c>
      <c r="L415">
        <v>57.62</v>
      </c>
      <c r="M415">
        <v>22288079</v>
      </c>
      <c r="N415">
        <v>22436534</v>
      </c>
      <c r="O415">
        <v>155</v>
      </c>
      <c r="P415">
        <v>155</v>
      </c>
      <c r="Q415">
        <v>10300552</v>
      </c>
      <c r="R415">
        <v>10262160</v>
      </c>
      <c r="S415">
        <v>6164189</v>
      </c>
      <c r="T415">
        <v>6111223</v>
      </c>
      <c r="U415">
        <v>0</v>
      </c>
      <c r="V415">
        <v>0</v>
      </c>
      <c r="W415">
        <v>0</v>
      </c>
      <c r="X415">
        <v>0</v>
      </c>
      <c r="Y415">
        <v>24652557</v>
      </c>
      <c r="Z415">
        <v>24778828</v>
      </c>
      <c r="AA415">
        <f t="shared" si="13"/>
        <v>-38392</v>
      </c>
      <c r="AB415">
        <f t="shared" si="12"/>
        <v>-0.37271788929369998</v>
      </c>
    </row>
    <row r="416" spans="1:28">
      <c r="A416" t="s">
        <v>47</v>
      </c>
      <c r="B416" s="2">
        <v>44986</v>
      </c>
      <c r="C416" s="2">
        <v>44958</v>
      </c>
      <c r="D416" s="2">
        <v>45068</v>
      </c>
      <c r="E416">
        <v>78568416</v>
      </c>
      <c r="F416">
        <v>78621334</v>
      </c>
      <c r="G416">
        <v>52918</v>
      </c>
      <c r="H416">
        <v>93.72</v>
      </c>
      <c r="I416">
        <v>540000</v>
      </c>
      <c r="J416" t="s">
        <v>29</v>
      </c>
      <c r="K416">
        <v>54.71</v>
      </c>
      <c r="L416">
        <v>55.25</v>
      </c>
      <c r="M416">
        <v>27753090</v>
      </c>
      <c r="N416">
        <v>27796556</v>
      </c>
      <c r="O416">
        <v>269</v>
      </c>
      <c r="P416">
        <v>269</v>
      </c>
      <c r="Q416">
        <v>16790527</v>
      </c>
      <c r="R416">
        <v>16686494</v>
      </c>
      <c r="S416">
        <v>9774447</v>
      </c>
      <c r="T416">
        <v>9886073</v>
      </c>
      <c r="U416">
        <v>94104</v>
      </c>
      <c r="V416">
        <v>102964</v>
      </c>
      <c r="W416">
        <v>0</v>
      </c>
      <c r="X416">
        <v>0</v>
      </c>
      <c r="Y416">
        <v>24155979</v>
      </c>
      <c r="Z416">
        <v>24148978</v>
      </c>
      <c r="AA416">
        <f t="shared" si="13"/>
        <v>-104033</v>
      </c>
      <c r="AB416">
        <f t="shared" si="12"/>
        <v>-0.61959341716909777</v>
      </c>
    </row>
    <row r="417" spans="1:28">
      <c r="A417" t="s">
        <v>48</v>
      </c>
      <c r="B417" s="2">
        <v>44986</v>
      </c>
      <c r="C417" s="2">
        <v>44958</v>
      </c>
      <c r="D417" s="2">
        <v>45068</v>
      </c>
      <c r="E417">
        <v>98987561</v>
      </c>
      <c r="F417">
        <v>99441919</v>
      </c>
      <c r="G417">
        <v>454358</v>
      </c>
      <c r="H417">
        <v>89.59</v>
      </c>
      <c r="I417">
        <v>1610000</v>
      </c>
      <c r="J417" t="s">
        <v>29</v>
      </c>
      <c r="K417">
        <v>69.25</v>
      </c>
      <c r="L417">
        <v>70.86</v>
      </c>
      <c r="M417">
        <v>36627036</v>
      </c>
      <c r="N417">
        <v>36684413</v>
      </c>
      <c r="O417">
        <v>0</v>
      </c>
      <c r="P417">
        <v>0</v>
      </c>
      <c r="Q417">
        <v>18806694</v>
      </c>
      <c r="R417">
        <v>18771392</v>
      </c>
      <c r="S417">
        <v>8561096</v>
      </c>
      <c r="T417">
        <v>8619448</v>
      </c>
      <c r="U417">
        <v>0</v>
      </c>
      <c r="V417">
        <v>0</v>
      </c>
      <c r="W417">
        <v>0</v>
      </c>
      <c r="X417">
        <v>0</v>
      </c>
      <c r="Y417">
        <v>34992735</v>
      </c>
      <c r="Z417">
        <v>35366666</v>
      </c>
      <c r="AA417">
        <f t="shared" si="13"/>
        <v>-35302</v>
      </c>
      <c r="AB417">
        <f t="shared" si="12"/>
        <v>-0.1877097590889712</v>
      </c>
    </row>
    <row r="418" spans="1:28">
      <c r="A418" t="s">
        <v>49</v>
      </c>
      <c r="B418" s="2">
        <v>44986</v>
      </c>
      <c r="C418" s="2">
        <v>44958</v>
      </c>
      <c r="D418" s="2">
        <v>45068</v>
      </c>
      <c r="E418">
        <v>62788109</v>
      </c>
      <c r="F418">
        <v>62722849</v>
      </c>
      <c r="G418">
        <v>-65260</v>
      </c>
      <c r="H418">
        <v>88.78</v>
      </c>
      <c r="I418">
        <v>1170000</v>
      </c>
      <c r="J418" t="s">
        <v>29</v>
      </c>
      <c r="K418">
        <v>53.93</v>
      </c>
      <c r="L418">
        <v>55.1</v>
      </c>
      <c r="M418">
        <v>18554765</v>
      </c>
      <c r="N418">
        <v>18419382</v>
      </c>
      <c r="O418">
        <v>8</v>
      </c>
      <c r="P418">
        <v>8</v>
      </c>
      <c r="Q418">
        <v>16925483</v>
      </c>
      <c r="R418">
        <v>16850342</v>
      </c>
      <c r="S418">
        <v>5502874</v>
      </c>
      <c r="T418">
        <v>5445784</v>
      </c>
      <c r="U418">
        <v>0</v>
      </c>
      <c r="V418">
        <v>0</v>
      </c>
      <c r="W418">
        <v>0</v>
      </c>
      <c r="X418">
        <v>0</v>
      </c>
      <c r="Y418">
        <v>21804979</v>
      </c>
      <c r="Z418">
        <v>22007333</v>
      </c>
      <c r="AA418">
        <f t="shared" si="13"/>
        <v>-75141</v>
      </c>
      <c r="AB418">
        <f t="shared" si="12"/>
        <v>-0.44395188013246062</v>
      </c>
    </row>
    <row r="419" spans="1:28">
      <c r="A419" t="s">
        <v>50</v>
      </c>
      <c r="B419" s="2">
        <v>44986</v>
      </c>
      <c r="C419" s="2">
        <v>44958</v>
      </c>
      <c r="D419" s="2">
        <v>45068</v>
      </c>
      <c r="E419">
        <v>56648194</v>
      </c>
      <c r="F419">
        <v>56663429</v>
      </c>
      <c r="G419">
        <v>15235</v>
      </c>
      <c r="H419">
        <v>89.29</v>
      </c>
      <c r="I419">
        <v>760000</v>
      </c>
      <c r="J419" t="s">
        <v>29</v>
      </c>
      <c r="K419">
        <v>43.67</v>
      </c>
      <c r="L419">
        <v>44.43</v>
      </c>
      <c r="M419">
        <v>16804876</v>
      </c>
      <c r="N419">
        <v>16844336</v>
      </c>
      <c r="O419">
        <v>151</v>
      </c>
      <c r="P419">
        <v>147</v>
      </c>
      <c r="Q419">
        <v>14577211</v>
      </c>
      <c r="R419">
        <v>14451612</v>
      </c>
      <c r="S419">
        <v>2445695</v>
      </c>
      <c r="T419">
        <v>2472605</v>
      </c>
      <c r="U419">
        <v>0</v>
      </c>
      <c r="V419">
        <v>0</v>
      </c>
      <c r="W419">
        <v>0</v>
      </c>
      <c r="X419">
        <v>0</v>
      </c>
      <c r="Y419">
        <v>22820261</v>
      </c>
      <c r="Z419">
        <v>22894729</v>
      </c>
      <c r="AA419">
        <f t="shared" si="13"/>
        <v>-125599</v>
      </c>
      <c r="AB419">
        <f t="shared" si="12"/>
        <v>-0.86161200520456205</v>
      </c>
    </row>
    <row r="420" spans="1:28">
      <c r="A420" t="s">
        <v>28</v>
      </c>
      <c r="B420" s="2">
        <v>45017</v>
      </c>
      <c r="C420" s="2">
        <v>44986</v>
      </c>
      <c r="D420" s="2">
        <v>45105</v>
      </c>
      <c r="E420">
        <v>82449889</v>
      </c>
      <c r="F420">
        <v>82467464</v>
      </c>
      <c r="G420">
        <v>17575</v>
      </c>
      <c r="H420">
        <v>94</v>
      </c>
      <c r="I420">
        <v>580000</v>
      </c>
      <c r="J420" t="s">
        <v>29</v>
      </c>
      <c r="K420">
        <v>58.2</v>
      </c>
      <c r="L420">
        <v>58.78</v>
      </c>
      <c r="M420">
        <v>32404916</v>
      </c>
      <c r="N420">
        <v>32415587</v>
      </c>
      <c r="O420">
        <v>0</v>
      </c>
      <c r="P420">
        <v>0</v>
      </c>
      <c r="Q420">
        <v>11770855</v>
      </c>
      <c r="R420">
        <v>11621123</v>
      </c>
      <c r="S420">
        <v>8010334</v>
      </c>
      <c r="T420">
        <v>7985490</v>
      </c>
      <c r="U420">
        <v>0</v>
      </c>
      <c r="V420">
        <v>0</v>
      </c>
      <c r="W420">
        <v>0</v>
      </c>
      <c r="X420">
        <v>0</v>
      </c>
      <c r="Y420">
        <v>30263784</v>
      </c>
      <c r="Z420">
        <v>30445264</v>
      </c>
      <c r="AA420">
        <f t="shared" si="13"/>
        <v>-149732</v>
      </c>
      <c r="AB420">
        <f t="shared" si="12"/>
        <v>-1.2720571275408625</v>
      </c>
    </row>
    <row r="421" spans="1:28">
      <c r="A421" t="s">
        <v>30</v>
      </c>
      <c r="B421" s="2">
        <v>45017</v>
      </c>
      <c r="C421" s="2">
        <v>44986</v>
      </c>
      <c r="D421" s="2">
        <v>45105</v>
      </c>
      <c r="E421">
        <v>24993855</v>
      </c>
      <c r="F421">
        <v>25136269</v>
      </c>
      <c r="G421">
        <v>142414</v>
      </c>
      <c r="H421">
        <v>94.66</v>
      </c>
      <c r="I421">
        <v>60000</v>
      </c>
      <c r="J421" t="s">
        <v>29</v>
      </c>
      <c r="K421">
        <v>5.82</v>
      </c>
      <c r="L421">
        <v>5.88</v>
      </c>
      <c r="M421">
        <v>11006187</v>
      </c>
      <c r="N421">
        <v>11096541</v>
      </c>
      <c r="O421">
        <v>0</v>
      </c>
      <c r="P421">
        <v>0</v>
      </c>
      <c r="Q421">
        <v>2002622</v>
      </c>
      <c r="R421">
        <v>1980752</v>
      </c>
      <c r="S421">
        <v>3184184</v>
      </c>
      <c r="T421">
        <v>3189306</v>
      </c>
      <c r="U421">
        <v>0</v>
      </c>
      <c r="V421">
        <v>0</v>
      </c>
      <c r="W421">
        <v>0</v>
      </c>
      <c r="X421">
        <v>0</v>
      </c>
      <c r="Y421">
        <v>8800862</v>
      </c>
      <c r="Z421">
        <v>8869670</v>
      </c>
      <c r="AA421">
        <f t="shared" si="13"/>
        <v>-21870</v>
      </c>
      <c r="AB421">
        <f t="shared" si="12"/>
        <v>-1.092068298460718</v>
      </c>
    </row>
    <row r="422" spans="1:28">
      <c r="A422" t="s">
        <v>31</v>
      </c>
      <c r="B422" s="2">
        <v>45017</v>
      </c>
      <c r="C422" s="2">
        <v>44986</v>
      </c>
      <c r="D422" s="2">
        <v>45105</v>
      </c>
      <c r="E422">
        <v>91220761</v>
      </c>
      <c r="F422">
        <v>91748082</v>
      </c>
      <c r="G422">
        <v>527321</v>
      </c>
      <c r="H422">
        <v>89.35</v>
      </c>
      <c r="I422">
        <v>740000</v>
      </c>
      <c r="J422" t="s">
        <v>29</v>
      </c>
      <c r="K422">
        <v>43.29</v>
      </c>
      <c r="L422">
        <v>44.03</v>
      </c>
      <c r="M422">
        <v>40323738</v>
      </c>
      <c r="N422">
        <v>40318716</v>
      </c>
      <c r="O422">
        <v>0</v>
      </c>
      <c r="P422">
        <v>0</v>
      </c>
      <c r="Q422">
        <v>8393253</v>
      </c>
      <c r="R422">
        <v>8282431</v>
      </c>
      <c r="S422">
        <v>5775195</v>
      </c>
      <c r="T422">
        <v>5808203</v>
      </c>
      <c r="U422">
        <v>0</v>
      </c>
      <c r="V422">
        <v>0</v>
      </c>
      <c r="W422">
        <v>0</v>
      </c>
      <c r="X422">
        <v>0</v>
      </c>
      <c r="Y422">
        <v>36728575</v>
      </c>
      <c r="Z422">
        <v>37338732</v>
      </c>
      <c r="AA422">
        <f t="shared" si="13"/>
        <v>-110822</v>
      </c>
      <c r="AB422">
        <f t="shared" si="12"/>
        <v>-1.3203700639072837</v>
      </c>
    </row>
    <row r="423" spans="1:28">
      <c r="A423" t="s">
        <v>32</v>
      </c>
      <c r="B423" s="2">
        <v>45017</v>
      </c>
      <c r="C423" s="2">
        <v>44986</v>
      </c>
      <c r="D423" s="2">
        <v>45105</v>
      </c>
      <c r="E423">
        <v>54479959</v>
      </c>
      <c r="F423">
        <v>54401322</v>
      </c>
      <c r="G423">
        <v>-78637</v>
      </c>
      <c r="H423">
        <v>62.89</v>
      </c>
      <c r="I423">
        <v>550000</v>
      </c>
      <c r="J423" t="s">
        <v>29</v>
      </c>
      <c r="K423">
        <v>39.36</v>
      </c>
      <c r="L423">
        <v>39.909999999999997</v>
      </c>
      <c r="M423">
        <v>17103766</v>
      </c>
      <c r="N423">
        <v>17107892</v>
      </c>
      <c r="O423">
        <v>193</v>
      </c>
      <c r="P423">
        <v>23</v>
      </c>
      <c r="Q423">
        <v>16860622</v>
      </c>
      <c r="R423">
        <v>16646441</v>
      </c>
      <c r="S423">
        <v>0</v>
      </c>
      <c r="T423">
        <v>0</v>
      </c>
      <c r="U423">
        <v>0</v>
      </c>
      <c r="V423">
        <v>0</v>
      </c>
      <c r="W423">
        <v>1689688</v>
      </c>
      <c r="X423">
        <v>1689493</v>
      </c>
      <c r="Y423">
        <v>18825690</v>
      </c>
      <c r="Z423">
        <v>18957473</v>
      </c>
      <c r="AA423">
        <f t="shared" si="13"/>
        <v>-214181</v>
      </c>
      <c r="AB423">
        <f t="shared" si="12"/>
        <v>-1.270303076600614</v>
      </c>
    </row>
    <row r="424" spans="1:28">
      <c r="A424" t="s">
        <v>33</v>
      </c>
      <c r="B424" s="2">
        <v>45017</v>
      </c>
      <c r="C424" s="2">
        <v>44986</v>
      </c>
      <c r="D424" s="2">
        <v>45105</v>
      </c>
      <c r="E424">
        <v>66232119</v>
      </c>
      <c r="F424">
        <v>66315364</v>
      </c>
      <c r="G424">
        <v>83245</v>
      </c>
      <c r="H424">
        <v>94.73</v>
      </c>
      <c r="I424">
        <v>750000</v>
      </c>
      <c r="J424" t="s">
        <v>29</v>
      </c>
      <c r="K424">
        <v>55.8</v>
      </c>
      <c r="L424">
        <v>56.55</v>
      </c>
      <c r="M424">
        <v>11363192</v>
      </c>
      <c r="N424">
        <v>11360507</v>
      </c>
      <c r="O424">
        <v>47</v>
      </c>
      <c r="P424">
        <v>47</v>
      </c>
      <c r="Q424">
        <v>22217191</v>
      </c>
      <c r="R424">
        <v>22136400</v>
      </c>
      <c r="S424">
        <v>5033390</v>
      </c>
      <c r="T424">
        <v>5064564</v>
      </c>
      <c r="U424">
        <v>0</v>
      </c>
      <c r="V424">
        <v>0</v>
      </c>
      <c r="W424">
        <v>0</v>
      </c>
      <c r="X424">
        <v>0</v>
      </c>
      <c r="Y424">
        <v>27618299</v>
      </c>
      <c r="Z424">
        <v>27753846</v>
      </c>
      <c r="AA424">
        <f t="shared" si="13"/>
        <v>-80791</v>
      </c>
      <c r="AB424">
        <f t="shared" si="12"/>
        <v>-0.36364183032859554</v>
      </c>
    </row>
    <row r="425" spans="1:28">
      <c r="A425" t="s">
        <v>34</v>
      </c>
      <c r="B425" s="2">
        <v>45017</v>
      </c>
      <c r="C425" s="2">
        <v>44986</v>
      </c>
      <c r="D425" s="2">
        <v>45105</v>
      </c>
      <c r="E425">
        <v>26639914</v>
      </c>
      <c r="F425">
        <v>26556437</v>
      </c>
      <c r="G425">
        <v>-83477</v>
      </c>
      <c r="H425">
        <v>91.24</v>
      </c>
      <c r="I425">
        <v>300000</v>
      </c>
      <c r="J425" t="s">
        <v>29</v>
      </c>
      <c r="K425">
        <v>26.45</v>
      </c>
      <c r="L425">
        <v>26.75</v>
      </c>
      <c r="M425">
        <v>6553650</v>
      </c>
      <c r="N425">
        <v>6547075</v>
      </c>
      <c r="O425">
        <v>11</v>
      </c>
      <c r="P425">
        <v>11</v>
      </c>
      <c r="Q425">
        <v>7350432</v>
      </c>
      <c r="R425">
        <v>7300487</v>
      </c>
      <c r="S425">
        <v>4565552</v>
      </c>
      <c r="T425">
        <v>4550713</v>
      </c>
      <c r="U425">
        <v>0</v>
      </c>
      <c r="V425">
        <v>0</v>
      </c>
      <c r="W425">
        <v>0</v>
      </c>
      <c r="X425">
        <v>0</v>
      </c>
      <c r="Y425">
        <v>8170269</v>
      </c>
      <c r="Z425">
        <v>8158151</v>
      </c>
      <c r="AA425">
        <f t="shared" si="13"/>
        <v>-49945</v>
      </c>
      <c r="AB425">
        <f t="shared" si="12"/>
        <v>-0.67948387251252718</v>
      </c>
    </row>
    <row r="426" spans="1:28">
      <c r="A426" t="s">
        <v>35</v>
      </c>
      <c r="B426" s="2">
        <v>45017</v>
      </c>
      <c r="C426" s="2">
        <v>44986</v>
      </c>
      <c r="D426" s="2">
        <v>45105</v>
      </c>
      <c r="E426">
        <v>8798443</v>
      </c>
      <c r="F426">
        <v>8765037</v>
      </c>
      <c r="G426">
        <v>-33406</v>
      </c>
      <c r="H426">
        <v>111.29</v>
      </c>
      <c r="I426">
        <v>40000</v>
      </c>
      <c r="J426" t="s">
        <v>29</v>
      </c>
      <c r="K426">
        <v>3.61</v>
      </c>
      <c r="L426">
        <v>3.65</v>
      </c>
      <c r="M426">
        <v>3424408</v>
      </c>
      <c r="N426">
        <v>3415983</v>
      </c>
      <c r="O426">
        <v>92</v>
      </c>
      <c r="P426">
        <v>92</v>
      </c>
      <c r="Q426">
        <v>468009</v>
      </c>
      <c r="R426">
        <v>458068</v>
      </c>
      <c r="S426">
        <v>1592496</v>
      </c>
      <c r="T426">
        <v>1597504</v>
      </c>
      <c r="U426">
        <v>0</v>
      </c>
      <c r="V426">
        <v>0</v>
      </c>
      <c r="W426">
        <v>0</v>
      </c>
      <c r="X426">
        <v>0</v>
      </c>
      <c r="Y426">
        <v>3313438</v>
      </c>
      <c r="Z426">
        <v>3293390</v>
      </c>
      <c r="AA426">
        <f t="shared" si="13"/>
        <v>-9941</v>
      </c>
      <c r="AB426">
        <f t="shared" si="12"/>
        <v>-2.12410445098278</v>
      </c>
    </row>
    <row r="427" spans="1:28">
      <c r="A427" t="s">
        <v>36</v>
      </c>
      <c r="B427" s="2">
        <v>45017</v>
      </c>
      <c r="C427" s="2">
        <v>44986</v>
      </c>
      <c r="D427" s="2">
        <v>45105</v>
      </c>
      <c r="E427">
        <v>12023707</v>
      </c>
      <c r="F427">
        <v>12048626</v>
      </c>
      <c r="G427">
        <v>24919</v>
      </c>
      <c r="H427">
        <v>84.95</v>
      </c>
      <c r="I427">
        <v>40000</v>
      </c>
      <c r="J427" t="s">
        <v>29</v>
      </c>
      <c r="K427">
        <v>1.89</v>
      </c>
      <c r="L427">
        <v>1.93</v>
      </c>
      <c r="M427">
        <v>5788180</v>
      </c>
      <c r="N427">
        <v>5826409</v>
      </c>
      <c r="O427">
        <v>0</v>
      </c>
      <c r="P427">
        <v>0</v>
      </c>
      <c r="Q427">
        <v>362900</v>
      </c>
      <c r="R427">
        <v>353914</v>
      </c>
      <c r="S427">
        <v>827594</v>
      </c>
      <c r="T427">
        <v>828960</v>
      </c>
      <c r="U427">
        <v>0</v>
      </c>
      <c r="V427">
        <v>0</v>
      </c>
      <c r="W427">
        <v>0</v>
      </c>
      <c r="X427">
        <v>0</v>
      </c>
      <c r="Y427">
        <v>5045033</v>
      </c>
      <c r="Z427">
        <v>5039343</v>
      </c>
      <c r="AA427">
        <f t="shared" si="13"/>
        <v>-8986</v>
      </c>
      <c r="AB427">
        <f t="shared" si="12"/>
        <v>-2.4761642325709561</v>
      </c>
    </row>
    <row r="428" spans="1:28">
      <c r="A428" t="s">
        <v>37</v>
      </c>
      <c r="B428" s="2">
        <v>45017</v>
      </c>
      <c r="C428" s="2">
        <v>44986</v>
      </c>
      <c r="D428" s="2">
        <v>45105</v>
      </c>
      <c r="E428">
        <v>65905417</v>
      </c>
      <c r="F428">
        <v>65499424</v>
      </c>
      <c r="G428">
        <v>-405993</v>
      </c>
      <c r="H428">
        <v>87.17</v>
      </c>
      <c r="I428">
        <v>550000</v>
      </c>
      <c r="J428" t="s">
        <v>29</v>
      </c>
      <c r="K428">
        <v>59.91</v>
      </c>
      <c r="L428">
        <v>60.46</v>
      </c>
      <c r="M428">
        <v>31217992</v>
      </c>
      <c r="N428">
        <v>31243043</v>
      </c>
      <c r="O428">
        <v>589</v>
      </c>
      <c r="P428">
        <v>589</v>
      </c>
      <c r="Q428">
        <v>7232272</v>
      </c>
      <c r="R428">
        <v>6869528</v>
      </c>
      <c r="S428">
        <v>5987361</v>
      </c>
      <c r="T428">
        <v>5704777</v>
      </c>
      <c r="U428">
        <v>0</v>
      </c>
      <c r="V428">
        <v>0</v>
      </c>
      <c r="W428">
        <v>0</v>
      </c>
      <c r="X428">
        <v>0</v>
      </c>
      <c r="Y428">
        <v>21467203</v>
      </c>
      <c r="Z428">
        <v>21681487</v>
      </c>
      <c r="AA428">
        <f t="shared" si="13"/>
        <v>-362744</v>
      </c>
      <c r="AB428">
        <f t="shared" si="12"/>
        <v>-5.0156299431216089</v>
      </c>
    </row>
    <row r="429" spans="1:28">
      <c r="A429" t="s">
        <v>38</v>
      </c>
      <c r="B429" s="2">
        <v>45017</v>
      </c>
      <c r="C429" s="2">
        <v>44986</v>
      </c>
      <c r="D429" s="2">
        <v>45105</v>
      </c>
      <c r="E429">
        <v>42411116</v>
      </c>
      <c r="F429">
        <v>42246916</v>
      </c>
      <c r="G429">
        <v>-164200</v>
      </c>
      <c r="H429">
        <v>94.42</v>
      </c>
      <c r="I429">
        <v>160000</v>
      </c>
      <c r="J429" t="s">
        <v>29</v>
      </c>
      <c r="K429">
        <v>20.84</v>
      </c>
      <c r="L429">
        <v>21</v>
      </c>
      <c r="M429">
        <v>7991307</v>
      </c>
      <c r="N429">
        <v>8003269</v>
      </c>
      <c r="O429">
        <v>113</v>
      </c>
      <c r="P429">
        <v>113</v>
      </c>
      <c r="Q429">
        <v>14470640</v>
      </c>
      <c r="R429">
        <v>14355479</v>
      </c>
      <c r="S429">
        <v>9878402</v>
      </c>
      <c r="T429">
        <v>9767943</v>
      </c>
      <c r="U429">
        <v>0</v>
      </c>
      <c r="V429">
        <v>0</v>
      </c>
      <c r="W429">
        <v>0</v>
      </c>
      <c r="X429">
        <v>0</v>
      </c>
      <c r="Y429">
        <v>10070654</v>
      </c>
      <c r="Z429">
        <v>10120112</v>
      </c>
      <c r="AA429">
        <f t="shared" si="13"/>
        <v>-115161</v>
      </c>
      <c r="AB429">
        <f t="shared" si="12"/>
        <v>-0.79582520192610695</v>
      </c>
    </row>
    <row r="430" spans="1:28">
      <c r="A430" t="s">
        <v>39</v>
      </c>
      <c r="B430" s="2">
        <v>45017</v>
      </c>
      <c r="C430" s="2">
        <v>44986</v>
      </c>
      <c r="D430" s="2">
        <v>45105</v>
      </c>
      <c r="E430">
        <v>24083754</v>
      </c>
      <c r="F430">
        <v>24048359</v>
      </c>
      <c r="G430">
        <v>-35395</v>
      </c>
      <c r="H430">
        <v>88.91</v>
      </c>
      <c r="I430">
        <v>150000</v>
      </c>
      <c r="J430" t="s">
        <v>29</v>
      </c>
      <c r="K430">
        <v>15.85</v>
      </c>
      <c r="L430">
        <v>16</v>
      </c>
      <c r="M430">
        <v>5711563</v>
      </c>
      <c r="N430">
        <v>5696931</v>
      </c>
      <c r="O430">
        <v>0</v>
      </c>
      <c r="P430">
        <v>0</v>
      </c>
      <c r="Q430">
        <v>5830683</v>
      </c>
      <c r="R430">
        <v>5787009</v>
      </c>
      <c r="S430">
        <v>2183653</v>
      </c>
      <c r="T430">
        <v>2182290</v>
      </c>
      <c r="U430">
        <v>0</v>
      </c>
      <c r="V430">
        <v>0</v>
      </c>
      <c r="W430">
        <v>0</v>
      </c>
      <c r="X430">
        <v>0</v>
      </c>
      <c r="Y430">
        <v>10357855</v>
      </c>
      <c r="Z430">
        <v>10382129</v>
      </c>
      <c r="AA430">
        <f t="shared" si="13"/>
        <v>-43674</v>
      </c>
      <c r="AB430">
        <f t="shared" si="12"/>
        <v>-0.74903746267804305</v>
      </c>
    </row>
    <row r="431" spans="1:28">
      <c r="A431" t="s">
        <v>40</v>
      </c>
      <c r="B431" s="2">
        <v>45017</v>
      </c>
      <c r="C431" s="2">
        <v>44986</v>
      </c>
      <c r="D431" s="2">
        <v>45105</v>
      </c>
      <c r="E431">
        <v>76671014</v>
      </c>
      <c r="F431">
        <v>76855135</v>
      </c>
      <c r="G431">
        <v>184121</v>
      </c>
      <c r="H431">
        <v>87.6</v>
      </c>
      <c r="I431">
        <v>960000</v>
      </c>
      <c r="J431" t="s">
        <v>29</v>
      </c>
      <c r="K431">
        <v>62.08</v>
      </c>
      <c r="L431">
        <v>63.04</v>
      </c>
      <c r="M431">
        <v>15424526</v>
      </c>
      <c r="N431">
        <v>15366862</v>
      </c>
      <c r="O431">
        <v>0</v>
      </c>
      <c r="P431">
        <v>0</v>
      </c>
      <c r="Q431">
        <v>17190019</v>
      </c>
      <c r="R431">
        <v>17011751</v>
      </c>
      <c r="S431">
        <v>5340998</v>
      </c>
      <c r="T431">
        <v>5273599</v>
      </c>
      <c r="U431">
        <v>0</v>
      </c>
      <c r="V431">
        <v>0</v>
      </c>
      <c r="W431">
        <v>0</v>
      </c>
      <c r="X431">
        <v>0</v>
      </c>
      <c r="Y431">
        <v>38715471</v>
      </c>
      <c r="Z431">
        <v>39202923</v>
      </c>
      <c r="AA431">
        <f t="shared" si="13"/>
        <v>-178268</v>
      </c>
      <c r="AB431">
        <f t="shared" si="12"/>
        <v>-1.0370436472466957</v>
      </c>
    </row>
    <row r="432" spans="1:28">
      <c r="A432" t="s">
        <v>41</v>
      </c>
      <c r="B432" s="2">
        <v>45017</v>
      </c>
      <c r="C432" s="2">
        <v>44986</v>
      </c>
      <c r="D432" s="2">
        <v>45105</v>
      </c>
      <c r="E432">
        <v>91505005</v>
      </c>
      <c r="F432">
        <v>91434415</v>
      </c>
      <c r="G432">
        <v>-70590</v>
      </c>
      <c r="H432">
        <v>90.51</v>
      </c>
      <c r="I432">
        <v>840000</v>
      </c>
      <c r="J432" t="s">
        <v>29</v>
      </c>
      <c r="K432">
        <v>67.680000000000007</v>
      </c>
      <c r="L432">
        <v>68.52</v>
      </c>
      <c r="M432">
        <v>21153731</v>
      </c>
      <c r="N432">
        <v>21137817</v>
      </c>
      <c r="O432">
        <v>0</v>
      </c>
      <c r="P432">
        <v>0</v>
      </c>
      <c r="Q432">
        <v>24401860</v>
      </c>
      <c r="R432">
        <v>24148630</v>
      </c>
      <c r="S432">
        <v>6322365</v>
      </c>
      <c r="T432">
        <v>6249033</v>
      </c>
      <c r="U432">
        <v>0</v>
      </c>
      <c r="V432">
        <v>0</v>
      </c>
      <c r="W432">
        <v>0</v>
      </c>
      <c r="X432">
        <v>0</v>
      </c>
      <c r="Y432">
        <v>39627049</v>
      </c>
      <c r="Z432">
        <v>39898935</v>
      </c>
      <c r="AA432">
        <f t="shared" si="13"/>
        <v>-253230</v>
      </c>
      <c r="AB432">
        <f t="shared" si="12"/>
        <v>-1.0377487617747172</v>
      </c>
    </row>
    <row r="433" spans="1:28">
      <c r="A433" t="s">
        <v>42</v>
      </c>
      <c r="B433" s="2">
        <v>45017</v>
      </c>
      <c r="C433" s="2">
        <v>44986</v>
      </c>
      <c r="D433" s="2">
        <v>45105</v>
      </c>
      <c r="E433">
        <v>34302250</v>
      </c>
      <c r="F433">
        <v>33835666</v>
      </c>
      <c r="G433">
        <v>-466584</v>
      </c>
      <c r="H433">
        <v>70.92</v>
      </c>
      <c r="I433">
        <v>240000</v>
      </c>
      <c r="J433" t="s">
        <v>29</v>
      </c>
      <c r="K433">
        <v>30.06</v>
      </c>
      <c r="L433">
        <v>30.3</v>
      </c>
      <c r="M433">
        <v>9844278</v>
      </c>
      <c r="N433">
        <v>9847047</v>
      </c>
      <c r="O433">
        <v>925</v>
      </c>
      <c r="P433">
        <v>925</v>
      </c>
      <c r="Q433">
        <v>11420368</v>
      </c>
      <c r="R433">
        <v>11267067</v>
      </c>
      <c r="S433">
        <v>0</v>
      </c>
      <c r="T433">
        <v>0</v>
      </c>
      <c r="U433">
        <v>0</v>
      </c>
      <c r="V433">
        <v>0</v>
      </c>
      <c r="W433">
        <v>660482</v>
      </c>
      <c r="X433">
        <v>458103</v>
      </c>
      <c r="Y433">
        <v>12376197</v>
      </c>
      <c r="Z433">
        <v>12262524</v>
      </c>
      <c r="AA433">
        <f t="shared" si="13"/>
        <v>-153301</v>
      </c>
      <c r="AB433">
        <f t="shared" si="12"/>
        <v>-1.3423472868825244</v>
      </c>
    </row>
    <row r="434" spans="1:28">
      <c r="A434" t="s">
        <v>43</v>
      </c>
      <c r="B434" s="2">
        <v>45017</v>
      </c>
      <c r="C434" s="2">
        <v>44986</v>
      </c>
      <c r="D434" s="2">
        <v>45105</v>
      </c>
      <c r="E434">
        <v>12350504</v>
      </c>
      <c r="F434">
        <v>12343609</v>
      </c>
      <c r="G434">
        <v>-6895</v>
      </c>
      <c r="H434">
        <v>94.43</v>
      </c>
      <c r="I434">
        <v>20000</v>
      </c>
      <c r="J434" t="s">
        <v>29</v>
      </c>
      <c r="K434">
        <v>1.94</v>
      </c>
      <c r="L434">
        <v>1.96</v>
      </c>
      <c r="M434">
        <v>5934222</v>
      </c>
      <c r="N434">
        <v>5959686</v>
      </c>
      <c r="O434">
        <v>0</v>
      </c>
      <c r="P434">
        <v>0</v>
      </c>
      <c r="Q434">
        <v>941136</v>
      </c>
      <c r="R434">
        <v>928935</v>
      </c>
      <c r="S434">
        <v>1365085</v>
      </c>
      <c r="T434">
        <v>1362179</v>
      </c>
      <c r="U434">
        <v>0</v>
      </c>
      <c r="V434">
        <v>0</v>
      </c>
      <c r="W434">
        <v>0</v>
      </c>
      <c r="X434">
        <v>0</v>
      </c>
      <c r="Y434">
        <v>4110061</v>
      </c>
      <c r="Z434">
        <v>4092809</v>
      </c>
      <c r="AA434">
        <f t="shared" si="13"/>
        <v>-12201</v>
      </c>
      <c r="AB434">
        <f t="shared" si="12"/>
        <v>-1.2964119957158158</v>
      </c>
    </row>
    <row r="435" spans="1:28">
      <c r="A435" t="s">
        <v>44</v>
      </c>
      <c r="B435" s="2">
        <v>45017</v>
      </c>
      <c r="C435" s="2">
        <v>44986</v>
      </c>
      <c r="D435" s="2">
        <v>45105</v>
      </c>
      <c r="E435">
        <v>33158952</v>
      </c>
      <c r="F435">
        <v>33215400</v>
      </c>
      <c r="G435">
        <v>56448</v>
      </c>
      <c r="H435">
        <v>97.74</v>
      </c>
      <c r="I435">
        <v>180000</v>
      </c>
      <c r="J435" t="s">
        <v>29</v>
      </c>
      <c r="K435">
        <v>14.98</v>
      </c>
      <c r="L435">
        <v>15.16</v>
      </c>
      <c r="M435">
        <v>11185393</v>
      </c>
      <c r="N435">
        <v>11272875</v>
      </c>
      <c r="O435">
        <v>29</v>
      </c>
      <c r="P435">
        <v>29</v>
      </c>
      <c r="Q435">
        <v>1630429</v>
      </c>
      <c r="R435">
        <v>1596649</v>
      </c>
      <c r="S435">
        <v>6223547</v>
      </c>
      <c r="T435">
        <v>6220306</v>
      </c>
      <c r="U435">
        <v>0</v>
      </c>
      <c r="V435">
        <v>0</v>
      </c>
      <c r="W435">
        <v>0</v>
      </c>
      <c r="X435">
        <v>0</v>
      </c>
      <c r="Y435">
        <v>14119554</v>
      </c>
      <c r="Z435">
        <v>14125541</v>
      </c>
      <c r="AA435">
        <f t="shared" si="13"/>
        <v>-33780</v>
      </c>
      <c r="AB435">
        <f t="shared" si="12"/>
        <v>-2.0718473481519282</v>
      </c>
    </row>
    <row r="436" spans="1:28">
      <c r="A436" t="s">
        <v>45</v>
      </c>
      <c r="B436" s="2">
        <v>45017</v>
      </c>
      <c r="C436" s="2">
        <v>44986</v>
      </c>
      <c r="D436" s="2">
        <v>45105</v>
      </c>
      <c r="E436">
        <v>35662853</v>
      </c>
      <c r="F436">
        <v>35446039</v>
      </c>
      <c r="G436">
        <v>-216814</v>
      </c>
      <c r="H436">
        <v>92.61</v>
      </c>
      <c r="I436">
        <v>310000</v>
      </c>
      <c r="J436" t="s">
        <v>29</v>
      </c>
      <c r="K436">
        <v>28.67</v>
      </c>
      <c r="L436">
        <v>28.98</v>
      </c>
      <c r="M436">
        <v>12298603</v>
      </c>
      <c r="N436">
        <v>12261917</v>
      </c>
      <c r="O436">
        <v>106</v>
      </c>
      <c r="P436">
        <v>106</v>
      </c>
      <c r="Q436">
        <v>7185176</v>
      </c>
      <c r="R436">
        <v>7104029</v>
      </c>
      <c r="S436">
        <v>4755245</v>
      </c>
      <c r="T436">
        <v>4636709</v>
      </c>
      <c r="U436">
        <v>0</v>
      </c>
      <c r="V436">
        <v>0</v>
      </c>
      <c r="W436">
        <v>0</v>
      </c>
      <c r="X436">
        <v>0</v>
      </c>
      <c r="Y436">
        <v>11423723</v>
      </c>
      <c r="Z436">
        <v>11443278</v>
      </c>
      <c r="AA436">
        <f t="shared" si="13"/>
        <v>-81147</v>
      </c>
      <c r="AB436">
        <f t="shared" si="12"/>
        <v>-1.1293669076442943</v>
      </c>
    </row>
    <row r="437" spans="1:28">
      <c r="A437" t="s">
        <v>46</v>
      </c>
      <c r="B437" s="2">
        <v>45017</v>
      </c>
      <c r="C437" s="2">
        <v>44986</v>
      </c>
      <c r="D437" s="2">
        <v>45105</v>
      </c>
      <c r="E437">
        <v>63588900</v>
      </c>
      <c r="F437">
        <v>63723675</v>
      </c>
      <c r="G437">
        <v>134775</v>
      </c>
      <c r="H437">
        <v>91.19</v>
      </c>
      <c r="I437">
        <v>670000</v>
      </c>
      <c r="J437" t="s">
        <v>29</v>
      </c>
      <c r="K437">
        <v>57.62</v>
      </c>
      <c r="L437">
        <v>58.29</v>
      </c>
      <c r="M437">
        <v>22436534</v>
      </c>
      <c r="N437">
        <v>22516495</v>
      </c>
      <c r="O437">
        <v>155</v>
      </c>
      <c r="P437">
        <v>155</v>
      </c>
      <c r="Q437">
        <v>10262160</v>
      </c>
      <c r="R437">
        <v>10150599</v>
      </c>
      <c r="S437">
        <v>6111223</v>
      </c>
      <c r="T437">
        <v>6020483</v>
      </c>
      <c r="U437">
        <v>0</v>
      </c>
      <c r="V437">
        <v>0</v>
      </c>
      <c r="W437">
        <v>0</v>
      </c>
      <c r="X437">
        <v>0</v>
      </c>
      <c r="Y437">
        <v>24778828</v>
      </c>
      <c r="Z437">
        <v>25035943</v>
      </c>
      <c r="AA437">
        <f t="shared" si="13"/>
        <v>-111561</v>
      </c>
      <c r="AB437">
        <f t="shared" si="12"/>
        <v>-1.0871103159568745</v>
      </c>
    </row>
    <row r="438" spans="1:28">
      <c r="A438" t="s">
        <v>47</v>
      </c>
      <c r="B438" s="2">
        <v>45017</v>
      </c>
      <c r="C438" s="2">
        <v>44986</v>
      </c>
      <c r="D438" s="2">
        <v>45105</v>
      </c>
      <c r="E438">
        <v>78621334</v>
      </c>
      <c r="F438">
        <v>78556552</v>
      </c>
      <c r="G438">
        <v>-64782</v>
      </c>
      <c r="H438">
        <v>94.12</v>
      </c>
      <c r="I438">
        <v>510000</v>
      </c>
      <c r="J438" t="s">
        <v>29</v>
      </c>
      <c r="K438">
        <v>55.25</v>
      </c>
      <c r="L438">
        <v>55.76</v>
      </c>
      <c r="M438">
        <v>27796556</v>
      </c>
      <c r="N438">
        <v>27840944</v>
      </c>
      <c r="O438">
        <v>269</v>
      </c>
      <c r="P438">
        <v>269</v>
      </c>
      <c r="Q438">
        <v>16686494</v>
      </c>
      <c r="R438">
        <v>16457624</v>
      </c>
      <c r="S438">
        <v>9886073</v>
      </c>
      <c r="T438">
        <v>9899833</v>
      </c>
      <c r="U438">
        <v>102964</v>
      </c>
      <c r="V438">
        <v>114812</v>
      </c>
      <c r="W438">
        <v>0</v>
      </c>
      <c r="X438">
        <v>0</v>
      </c>
      <c r="Y438">
        <v>24148978</v>
      </c>
      <c r="Z438">
        <v>24243070</v>
      </c>
      <c r="AA438">
        <f t="shared" si="13"/>
        <v>-228870</v>
      </c>
      <c r="AB438">
        <f t="shared" si="12"/>
        <v>-1.3715883036903977</v>
      </c>
    </row>
    <row r="439" spans="1:28">
      <c r="A439" t="s">
        <v>48</v>
      </c>
      <c r="B439" s="2">
        <v>45017</v>
      </c>
      <c r="C439" s="2">
        <v>44986</v>
      </c>
      <c r="D439" s="2">
        <v>45105</v>
      </c>
      <c r="E439">
        <v>99441919</v>
      </c>
      <c r="F439">
        <v>99626681</v>
      </c>
      <c r="G439">
        <v>184762</v>
      </c>
      <c r="H439">
        <v>89.74</v>
      </c>
      <c r="I439">
        <v>1470000</v>
      </c>
      <c r="J439" t="s">
        <v>29</v>
      </c>
      <c r="K439">
        <v>70.86</v>
      </c>
      <c r="L439">
        <v>72.33</v>
      </c>
      <c r="M439">
        <v>36684413</v>
      </c>
      <c r="N439">
        <v>36545104</v>
      </c>
      <c r="O439">
        <v>0</v>
      </c>
      <c r="P439">
        <v>0</v>
      </c>
      <c r="Q439">
        <v>18771392</v>
      </c>
      <c r="R439">
        <v>18690203</v>
      </c>
      <c r="S439">
        <v>8619448</v>
      </c>
      <c r="T439">
        <v>8652063</v>
      </c>
      <c r="U439">
        <v>0</v>
      </c>
      <c r="V439">
        <v>0</v>
      </c>
      <c r="W439">
        <v>0</v>
      </c>
      <c r="X439">
        <v>0</v>
      </c>
      <c r="Y439">
        <v>35366666</v>
      </c>
      <c r="Z439">
        <v>35739311</v>
      </c>
      <c r="AA439">
        <f t="shared" si="13"/>
        <v>-81189</v>
      </c>
      <c r="AB439">
        <f t="shared" si="12"/>
        <v>-0.43251454127642747</v>
      </c>
    </row>
    <row r="440" spans="1:28">
      <c r="A440" t="s">
        <v>49</v>
      </c>
      <c r="B440" s="2">
        <v>45017</v>
      </c>
      <c r="C440" s="2">
        <v>44986</v>
      </c>
      <c r="D440" s="2">
        <v>45105</v>
      </c>
      <c r="E440">
        <v>62722849</v>
      </c>
      <c r="F440">
        <v>62278739</v>
      </c>
      <c r="G440">
        <v>-444110</v>
      </c>
      <c r="H440">
        <v>92.53</v>
      </c>
      <c r="I440">
        <v>1100000</v>
      </c>
      <c r="J440" t="s">
        <v>29</v>
      </c>
      <c r="K440">
        <v>55.1</v>
      </c>
      <c r="L440">
        <v>56.2</v>
      </c>
      <c r="M440">
        <v>18419382</v>
      </c>
      <c r="N440">
        <v>18302909</v>
      </c>
      <c r="O440">
        <v>8</v>
      </c>
      <c r="P440">
        <v>8</v>
      </c>
      <c r="Q440">
        <v>16850342</v>
      </c>
      <c r="R440">
        <v>16336895</v>
      </c>
      <c r="S440">
        <v>5445784</v>
      </c>
      <c r="T440">
        <v>5372662</v>
      </c>
      <c r="U440">
        <v>0</v>
      </c>
      <c r="V440">
        <v>0</v>
      </c>
      <c r="W440">
        <v>0</v>
      </c>
      <c r="X440">
        <v>0</v>
      </c>
      <c r="Y440">
        <v>22007333</v>
      </c>
      <c r="Z440">
        <v>22266265</v>
      </c>
      <c r="AA440">
        <f t="shared" si="13"/>
        <v>-513447</v>
      </c>
      <c r="AB440">
        <f t="shared" si="12"/>
        <v>-3.0471013585362243</v>
      </c>
    </row>
    <row r="441" spans="1:28">
      <c r="A441" t="s">
        <v>50</v>
      </c>
      <c r="B441" s="2">
        <v>45017</v>
      </c>
      <c r="C441" s="2">
        <v>44986</v>
      </c>
      <c r="D441" s="2">
        <v>45105</v>
      </c>
      <c r="E441">
        <v>56663429</v>
      </c>
      <c r="F441">
        <v>56582245</v>
      </c>
      <c r="G441">
        <v>-81184</v>
      </c>
      <c r="H441">
        <v>90.02</v>
      </c>
      <c r="I441">
        <v>740000</v>
      </c>
      <c r="J441" t="s">
        <v>29</v>
      </c>
      <c r="K441">
        <v>44.43</v>
      </c>
      <c r="L441">
        <v>45.17</v>
      </c>
      <c r="M441">
        <v>16844336</v>
      </c>
      <c r="N441">
        <v>16903592</v>
      </c>
      <c r="O441">
        <v>147</v>
      </c>
      <c r="P441">
        <v>147</v>
      </c>
      <c r="Q441">
        <v>14451612</v>
      </c>
      <c r="R441">
        <v>14272647</v>
      </c>
      <c r="S441">
        <v>2472605</v>
      </c>
      <c r="T441">
        <v>2484821</v>
      </c>
      <c r="U441">
        <v>0</v>
      </c>
      <c r="V441">
        <v>0</v>
      </c>
      <c r="W441">
        <v>0</v>
      </c>
      <c r="X441">
        <v>0</v>
      </c>
      <c r="Y441">
        <v>22894729</v>
      </c>
      <c r="Z441">
        <v>22921038</v>
      </c>
      <c r="AA441">
        <f t="shared" si="13"/>
        <v>-178965</v>
      </c>
      <c r="AB441">
        <f t="shared" si="12"/>
        <v>-1.238373961326944</v>
      </c>
    </row>
    <row r="442" spans="1:28">
      <c r="A442" t="s">
        <v>28</v>
      </c>
      <c r="B442" s="2">
        <v>45047</v>
      </c>
      <c r="C442" s="2">
        <v>45017</v>
      </c>
      <c r="D442" s="2">
        <v>45139</v>
      </c>
      <c r="E442">
        <v>82467464</v>
      </c>
      <c r="F442">
        <v>82599706</v>
      </c>
      <c r="G442">
        <v>132242</v>
      </c>
      <c r="H442">
        <v>93.82</v>
      </c>
      <c r="I442">
        <v>580000</v>
      </c>
      <c r="J442" t="s">
        <v>29</v>
      </c>
      <c r="K442">
        <v>58.78</v>
      </c>
      <c r="L442">
        <v>59.36</v>
      </c>
      <c r="M442">
        <v>32415587</v>
      </c>
      <c r="N442">
        <v>32578763</v>
      </c>
      <c r="O442">
        <v>0</v>
      </c>
      <c r="P442">
        <v>0</v>
      </c>
      <c r="Q442">
        <v>11621123</v>
      </c>
      <c r="R442">
        <v>11447975</v>
      </c>
      <c r="S442">
        <v>7985490</v>
      </c>
      <c r="T442">
        <v>7934099</v>
      </c>
      <c r="U442">
        <v>0</v>
      </c>
      <c r="V442">
        <v>0</v>
      </c>
      <c r="W442">
        <v>0</v>
      </c>
      <c r="X442">
        <v>0</v>
      </c>
      <c r="Y442">
        <v>30445264</v>
      </c>
      <c r="Z442">
        <v>30638869</v>
      </c>
      <c r="AA442">
        <f t="shared" si="13"/>
        <v>-173148</v>
      </c>
      <c r="AB442">
        <f t="shared" si="12"/>
        <v>-1.4899420649794346</v>
      </c>
    </row>
    <row r="443" spans="1:28">
      <c r="A443" t="s">
        <v>30</v>
      </c>
      <c r="B443" s="2">
        <v>45047</v>
      </c>
      <c r="C443" s="2">
        <v>45017</v>
      </c>
      <c r="D443" s="2">
        <v>45139</v>
      </c>
      <c r="E443">
        <v>25136269</v>
      </c>
      <c r="F443">
        <v>25197357</v>
      </c>
      <c r="G443">
        <v>61088</v>
      </c>
      <c r="H443">
        <v>94.27</v>
      </c>
      <c r="I443">
        <v>100000</v>
      </c>
      <c r="J443" t="s">
        <v>29</v>
      </c>
      <c r="K443">
        <v>5.88</v>
      </c>
      <c r="L443">
        <v>5.98</v>
      </c>
      <c r="M443">
        <v>11096541</v>
      </c>
      <c r="N443">
        <v>11140124</v>
      </c>
      <c r="O443">
        <v>0</v>
      </c>
      <c r="P443">
        <v>0</v>
      </c>
      <c r="Q443">
        <v>1980752</v>
      </c>
      <c r="R443">
        <v>1937529</v>
      </c>
      <c r="S443">
        <v>3189306</v>
      </c>
      <c r="T443">
        <v>3191181</v>
      </c>
      <c r="U443">
        <v>0</v>
      </c>
      <c r="V443">
        <v>0</v>
      </c>
      <c r="W443">
        <v>0</v>
      </c>
      <c r="X443">
        <v>0</v>
      </c>
      <c r="Y443">
        <v>8869670</v>
      </c>
      <c r="Z443">
        <v>8928523</v>
      </c>
      <c r="AA443">
        <f t="shared" si="13"/>
        <v>-43223</v>
      </c>
      <c r="AB443">
        <f t="shared" si="12"/>
        <v>-2.1821510214302444</v>
      </c>
    </row>
    <row r="444" spans="1:28">
      <c r="A444" t="s">
        <v>31</v>
      </c>
      <c r="B444" s="2">
        <v>45047</v>
      </c>
      <c r="C444" s="2">
        <v>45017</v>
      </c>
      <c r="D444" s="2">
        <v>45139</v>
      </c>
      <c r="E444">
        <v>91748082</v>
      </c>
      <c r="F444">
        <v>92034660</v>
      </c>
      <c r="G444">
        <v>286578</v>
      </c>
      <c r="H444">
        <v>91.87</v>
      </c>
      <c r="I444">
        <v>690000</v>
      </c>
      <c r="J444" t="s">
        <v>29</v>
      </c>
      <c r="K444">
        <v>44.03</v>
      </c>
      <c r="L444">
        <v>44.72</v>
      </c>
      <c r="M444">
        <v>40318716</v>
      </c>
      <c r="N444">
        <v>40422573</v>
      </c>
      <c r="O444">
        <v>0</v>
      </c>
      <c r="P444">
        <v>0</v>
      </c>
      <c r="Q444">
        <v>8282431</v>
      </c>
      <c r="R444">
        <v>8133798</v>
      </c>
      <c r="S444">
        <v>5808203</v>
      </c>
      <c r="T444">
        <v>5833901</v>
      </c>
      <c r="U444">
        <v>0</v>
      </c>
      <c r="V444">
        <v>0</v>
      </c>
      <c r="W444">
        <v>0</v>
      </c>
      <c r="X444">
        <v>0</v>
      </c>
      <c r="Y444">
        <v>37338732</v>
      </c>
      <c r="Z444">
        <v>37644388</v>
      </c>
      <c r="AA444">
        <f t="shared" si="13"/>
        <v>-148633</v>
      </c>
      <c r="AB444">
        <f t="shared" si="12"/>
        <v>-1.794557660667502</v>
      </c>
    </row>
    <row r="445" spans="1:28">
      <c r="A445" t="s">
        <v>32</v>
      </c>
      <c r="B445" s="2">
        <v>45047</v>
      </c>
      <c r="C445" s="2">
        <v>45017</v>
      </c>
      <c r="D445" s="2">
        <v>45139</v>
      </c>
      <c r="E445">
        <v>54401322</v>
      </c>
      <c r="F445">
        <v>54424345</v>
      </c>
      <c r="G445">
        <v>23023</v>
      </c>
      <c r="H445">
        <v>61.31</v>
      </c>
      <c r="I445">
        <v>430000</v>
      </c>
      <c r="J445" t="s">
        <v>29</v>
      </c>
      <c r="K445">
        <v>39.909999999999997</v>
      </c>
      <c r="L445">
        <v>40.340000000000003</v>
      </c>
      <c r="M445">
        <v>17107892</v>
      </c>
      <c r="N445">
        <v>17156018</v>
      </c>
      <c r="O445">
        <v>23</v>
      </c>
      <c r="P445">
        <v>23</v>
      </c>
      <c r="Q445">
        <v>16646441</v>
      </c>
      <c r="R445">
        <v>16509158</v>
      </c>
      <c r="S445">
        <v>0</v>
      </c>
      <c r="T445">
        <v>0</v>
      </c>
      <c r="U445">
        <v>0</v>
      </c>
      <c r="V445">
        <v>0</v>
      </c>
      <c r="W445">
        <v>1689493</v>
      </c>
      <c r="X445">
        <v>1689628</v>
      </c>
      <c r="Y445">
        <v>18957473</v>
      </c>
      <c r="Z445">
        <v>19069518</v>
      </c>
      <c r="AA445">
        <f t="shared" si="13"/>
        <v>-137283</v>
      </c>
      <c r="AB445">
        <f t="shared" si="12"/>
        <v>-0.82469880498780501</v>
      </c>
    </row>
    <row r="446" spans="1:28">
      <c r="A446" t="s">
        <v>33</v>
      </c>
      <c r="B446" s="2">
        <v>45047</v>
      </c>
      <c r="C446" s="2">
        <v>45017</v>
      </c>
      <c r="D446" s="2">
        <v>45139</v>
      </c>
      <c r="E446">
        <v>66315364</v>
      </c>
      <c r="F446">
        <v>66235604</v>
      </c>
      <c r="G446">
        <v>-79760</v>
      </c>
      <c r="H446">
        <v>92.53</v>
      </c>
      <c r="I446">
        <v>260000</v>
      </c>
      <c r="J446" t="s">
        <v>29</v>
      </c>
      <c r="K446">
        <v>56.55</v>
      </c>
      <c r="L446">
        <v>56.81</v>
      </c>
      <c r="M446">
        <v>11360507</v>
      </c>
      <c r="N446">
        <v>11373055</v>
      </c>
      <c r="O446">
        <v>47</v>
      </c>
      <c r="P446">
        <v>47</v>
      </c>
      <c r="Q446">
        <v>22136400</v>
      </c>
      <c r="R446">
        <v>21932937</v>
      </c>
      <c r="S446">
        <v>5064564</v>
      </c>
      <c r="T446">
        <v>5028454</v>
      </c>
      <c r="U446">
        <v>0</v>
      </c>
      <c r="V446">
        <v>0</v>
      </c>
      <c r="W446">
        <v>0</v>
      </c>
      <c r="X446">
        <v>0</v>
      </c>
      <c r="Y446">
        <v>27753846</v>
      </c>
      <c r="Z446">
        <v>27901111</v>
      </c>
      <c r="AA446">
        <f t="shared" si="13"/>
        <v>-203463</v>
      </c>
      <c r="AB446">
        <f t="shared" si="12"/>
        <v>-0.91913319238900637</v>
      </c>
    </row>
    <row r="447" spans="1:28">
      <c r="A447" t="s">
        <v>34</v>
      </c>
      <c r="B447" s="2">
        <v>45047</v>
      </c>
      <c r="C447" s="2">
        <v>45017</v>
      </c>
      <c r="D447" s="2">
        <v>45139</v>
      </c>
      <c r="E447">
        <v>26556437</v>
      </c>
      <c r="F447">
        <v>26474965</v>
      </c>
      <c r="G447">
        <v>-81472</v>
      </c>
      <c r="H447">
        <v>90.29</v>
      </c>
      <c r="I447">
        <v>30000</v>
      </c>
      <c r="J447" t="s">
        <v>29</v>
      </c>
      <c r="K447">
        <v>26.75</v>
      </c>
      <c r="L447">
        <v>26.78</v>
      </c>
      <c r="M447">
        <v>6547075</v>
      </c>
      <c r="N447">
        <v>6551136</v>
      </c>
      <c r="O447">
        <v>11</v>
      </c>
      <c r="P447">
        <v>11</v>
      </c>
      <c r="Q447">
        <v>7300487</v>
      </c>
      <c r="R447">
        <v>7254897</v>
      </c>
      <c r="S447">
        <v>4550713</v>
      </c>
      <c r="T447">
        <v>4438346</v>
      </c>
      <c r="U447">
        <v>0</v>
      </c>
      <c r="V447">
        <v>0</v>
      </c>
      <c r="W447">
        <v>0</v>
      </c>
      <c r="X447">
        <v>0</v>
      </c>
      <c r="Y447">
        <v>8158151</v>
      </c>
      <c r="Z447">
        <v>8230575</v>
      </c>
      <c r="AA447">
        <f t="shared" si="13"/>
        <v>-45590</v>
      </c>
      <c r="AB447">
        <f t="shared" si="12"/>
        <v>-0.6244788875043541</v>
      </c>
    </row>
    <row r="448" spans="1:28">
      <c r="A448" t="s">
        <v>35</v>
      </c>
      <c r="B448" s="2">
        <v>45047</v>
      </c>
      <c r="C448" s="2">
        <v>45017</v>
      </c>
      <c r="D448" s="2">
        <v>45139</v>
      </c>
      <c r="E448">
        <v>8765037</v>
      </c>
      <c r="F448">
        <v>8783227</v>
      </c>
      <c r="G448">
        <v>18190</v>
      </c>
      <c r="H448">
        <v>112.98</v>
      </c>
      <c r="I448">
        <v>640000</v>
      </c>
      <c r="J448" t="s">
        <v>29</v>
      </c>
      <c r="K448">
        <v>3.65</v>
      </c>
      <c r="L448">
        <v>4.29</v>
      </c>
      <c r="M448">
        <v>3415983</v>
      </c>
      <c r="N448">
        <v>3423864</v>
      </c>
      <c r="O448">
        <v>92</v>
      </c>
      <c r="P448">
        <v>92</v>
      </c>
      <c r="Q448">
        <v>458068</v>
      </c>
      <c r="R448">
        <v>442699</v>
      </c>
      <c r="S448">
        <v>1597504</v>
      </c>
      <c r="T448">
        <v>1603132</v>
      </c>
      <c r="U448">
        <v>0</v>
      </c>
      <c r="V448">
        <v>0</v>
      </c>
      <c r="W448">
        <v>0</v>
      </c>
      <c r="X448">
        <v>0</v>
      </c>
      <c r="Y448">
        <v>3293390</v>
      </c>
      <c r="Z448">
        <v>3313440</v>
      </c>
      <c r="AA448">
        <f t="shared" si="13"/>
        <v>-15369</v>
      </c>
      <c r="AB448">
        <f t="shared" si="12"/>
        <v>-3.355178707091524</v>
      </c>
    </row>
    <row r="449" spans="1:28">
      <c r="A449" t="s">
        <v>36</v>
      </c>
      <c r="B449" s="2">
        <v>45047</v>
      </c>
      <c r="C449" s="2">
        <v>45017</v>
      </c>
      <c r="D449" s="2">
        <v>45139</v>
      </c>
      <c r="E449">
        <v>12048626</v>
      </c>
      <c r="F449">
        <v>12130608</v>
      </c>
      <c r="G449">
        <v>81982</v>
      </c>
      <c r="H449">
        <v>86.37</v>
      </c>
      <c r="I449">
        <v>430000</v>
      </c>
      <c r="J449" t="s">
        <v>29</v>
      </c>
      <c r="K449">
        <v>1.93</v>
      </c>
      <c r="L449">
        <v>2.36</v>
      </c>
      <c r="M449">
        <v>5826409</v>
      </c>
      <c r="N449">
        <v>5866248</v>
      </c>
      <c r="O449">
        <v>0</v>
      </c>
      <c r="P449">
        <v>0</v>
      </c>
      <c r="Q449">
        <v>353914</v>
      </c>
      <c r="R449">
        <v>335707</v>
      </c>
      <c r="S449">
        <v>828960</v>
      </c>
      <c r="T449">
        <v>828900</v>
      </c>
      <c r="U449">
        <v>0</v>
      </c>
      <c r="V449">
        <v>0</v>
      </c>
      <c r="W449">
        <v>0</v>
      </c>
      <c r="X449">
        <v>0</v>
      </c>
      <c r="Y449">
        <v>5039343</v>
      </c>
      <c r="Z449">
        <v>5099753</v>
      </c>
      <c r="AA449">
        <f t="shared" si="13"/>
        <v>-18207</v>
      </c>
      <c r="AB449">
        <f t="shared" si="12"/>
        <v>-5.1444701255107175</v>
      </c>
    </row>
    <row r="450" spans="1:28">
      <c r="A450" t="s">
        <v>37</v>
      </c>
      <c r="B450" s="2">
        <v>45047</v>
      </c>
      <c r="C450" s="2">
        <v>45017</v>
      </c>
      <c r="D450" s="2">
        <v>45139</v>
      </c>
      <c r="E450">
        <v>65499424</v>
      </c>
      <c r="F450">
        <v>65565448</v>
      </c>
      <c r="G450">
        <v>66024</v>
      </c>
      <c r="H450">
        <v>89.94</v>
      </c>
      <c r="I450">
        <v>520000</v>
      </c>
      <c r="J450" t="s">
        <v>29</v>
      </c>
      <c r="K450">
        <v>60.46</v>
      </c>
      <c r="L450">
        <v>60.98</v>
      </c>
      <c r="M450">
        <v>31243043</v>
      </c>
      <c r="N450">
        <v>31365250</v>
      </c>
      <c r="O450">
        <v>589</v>
      </c>
      <c r="P450">
        <v>589</v>
      </c>
      <c r="Q450">
        <v>6869528</v>
      </c>
      <c r="R450">
        <v>6777831</v>
      </c>
      <c r="S450">
        <v>5704777</v>
      </c>
      <c r="T450">
        <v>5437302</v>
      </c>
      <c r="U450">
        <v>0</v>
      </c>
      <c r="V450">
        <v>0</v>
      </c>
      <c r="W450">
        <v>0</v>
      </c>
      <c r="X450">
        <v>0</v>
      </c>
      <c r="Y450">
        <v>21681487</v>
      </c>
      <c r="Z450">
        <v>21984476</v>
      </c>
      <c r="AA450">
        <f t="shared" si="13"/>
        <v>-91697</v>
      </c>
      <c r="AB450">
        <f t="shared" si="12"/>
        <v>-1.3348369786104664</v>
      </c>
    </row>
    <row r="451" spans="1:28">
      <c r="A451" t="s">
        <v>38</v>
      </c>
      <c r="B451" s="2">
        <v>45047</v>
      </c>
      <c r="C451" s="2">
        <v>45017</v>
      </c>
      <c r="D451" s="2">
        <v>45139</v>
      </c>
      <c r="E451">
        <v>42246916</v>
      </c>
      <c r="F451">
        <v>42204585</v>
      </c>
      <c r="G451">
        <v>-42331</v>
      </c>
      <c r="H451">
        <v>94.96</v>
      </c>
      <c r="I451">
        <v>330000</v>
      </c>
      <c r="J451" t="s">
        <v>29</v>
      </c>
      <c r="K451">
        <v>21</v>
      </c>
      <c r="L451">
        <v>21.33</v>
      </c>
      <c r="M451">
        <v>8003269</v>
      </c>
      <c r="N451">
        <v>8045718</v>
      </c>
      <c r="O451">
        <v>113</v>
      </c>
      <c r="P451">
        <v>113</v>
      </c>
      <c r="Q451">
        <v>14355479</v>
      </c>
      <c r="R451">
        <v>14245870</v>
      </c>
      <c r="S451">
        <v>9767943</v>
      </c>
      <c r="T451">
        <v>9719202</v>
      </c>
      <c r="U451">
        <v>0</v>
      </c>
      <c r="V451">
        <v>0</v>
      </c>
      <c r="W451">
        <v>0</v>
      </c>
      <c r="X451">
        <v>0</v>
      </c>
      <c r="Y451">
        <v>10120112</v>
      </c>
      <c r="Z451">
        <v>10193682</v>
      </c>
      <c r="AA451">
        <f t="shared" si="13"/>
        <v>-109609</v>
      </c>
      <c r="AB451">
        <f t="shared" ref="AB451:AB514" si="14">(($R451-$Q451)/$Q451)*100</f>
        <v>-0.76353425754724036</v>
      </c>
    </row>
    <row r="452" spans="1:28">
      <c r="A452" t="s">
        <v>39</v>
      </c>
      <c r="B452" s="2">
        <v>45047</v>
      </c>
      <c r="C452" s="2">
        <v>45017</v>
      </c>
      <c r="D452" s="2">
        <v>45139</v>
      </c>
      <c r="E452">
        <v>24048359</v>
      </c>
      <c r="F452">
        <v>23954371</v>
      </c>
      <c r="G452">
        <v>-93988</v>
      </c>
      <c r="H452">
        <v>88.72</v>
      </c>
      <c r="I452">
        <v>540000</v>
      </c>
      <c r="J452" t="s">
        <v>29</v>
      </c>
      <c r="K452">
        <v>16</v>
      </c>
      <c r="L452">
        <v>16.54</v>
      </c>
      <c r="M452">
        <v>5696931</v>
      </c>
      <c r="N452">
        <v>5648094</v>
      </c>
      <c r="O452">
        <v>0</v>
      </c>
      <c r="P452">
        <v>0</v>
      </c>
      <c r="Q452">
        <v>5787009</v>
      </c>
      <c r="R452">
        <v>5686855</v>
      </c>
      <c r="S452">
        <v>2182290</v>
      </c>
      <c r="T452">
        <v>2185623</v>
      </c>
      <c r="U452">
        <v>0</v>
      </c>
      <c r="V452">
        <v>0</v>
      </c>
      <c r="W452">
        <v>0</v>
      </c>
      <c r="X452">
        <v>0</v>
      </c>
      <c r="Y452">
        <v>10382129</v>
      </c>
      <c r="Z452">
        <v>10433799</v>
      </c>
      <c r="AA452">
        <f t="shared" ref="AA452:AA515" si="15">$R452-$Q452</f>
        <v>-100154</v>
      </c>
      <c r="AB452">
        <f t="shared" si="14"/>
        <v>-1.7306695047476166</v>
      </c>
    </row>
    <row r="453" spans="1:28">
      <c r="A453" t="s">
        <v>40</v>
      </c>
      <c r="B453" s="2">
        <v>45047</v>
      </c>
      <c r="C453" s="2">
        <v>45017</v>
      </c>
      <c r="D453" s="2">
        <v>45139</v>
      </c>
      <c r="E453">
        <v>76855135</v>
      </c>
      <c r="F453">
        <v>76943343</v>
      </c>
      <c r="G453">
        <v>88208</v>
      </c>
      <c r="H453">
        <v>87.23</v>
      </c>
      <c r="I453">
        <v>1320000</v>
      </c>
      <c r="J453" t="s">
        <v>29</v>
      </c>
      <c r="K453">
        <v>63.04</v>
      </c>
      <c r="L453">
        <v>64.36</v>
      </c>
      <c r="M453">
        <v>15366862</v>
      </c>
      <c r="N453">
        <v>15375233</v>
      </c>
      <c r="O453">
        <v>0</v>
      </c>
      <c r="P453">
        <v>0</v>
      </c>
      <c r="Q453">
        <v>17011751</v>
      </c>
      <c r="R453">
        <v>16943923</v>
      </c>
      <c r="S453">
        <v>5273599</v>
      </c>
      <c r="T453">
        <v>5214330</v>
      </c>
      <c r="U453">
        <v>0</v>
      </c>
      <c r="V453">
        <v>0</v>
      </c>
      <c r="W453">
        <v>0</v>
      </c>
      <c r="X453">
        <v>0</v>
      </c>
      <c r="Y453">
        <v>39202923</v>
      </c>
      <c r="Z453">
        <v>39409857</v>
      </c>
      <c r="AA453">
        <f t="shared" si="15"/>
        <v>-67828</v>
      </c>
      <c r="AB453">
        <f t="shared" si="14"/>
        <v>-0.39871263105132448</v>
      </c>
    </row>
    <row r="454" spans="1:28">
      <c r="A454" t="s">
        <v>41</v>
      </c>
      <c r="B454" s="2">
        <v>45047</v>
      </c>
      <c r="C454" s="2">
        <v>45017</v>
      </c>
      <c r="D454" s="2">
        <v>45139</v>
      </c>
      <c r="E454">
        <v>91434415</v>
      </c>
      <c r="F454">
        <v>91464391</v>
      </c>
      <c r="G454">
        <v>29976</v>
      </c>
      <c r="H454">
        <v>92.53</v>
      </c>
      <c r="I454">
        <v>100000</v>
      </c>
      <c r="J454" t="s">
        <v>29</v>
      </c>
      <c r="K454">
        <v>68.52</v>
      </c>
      <c r="L454">
        <v>68.62</v>
      </c>
      <c r="M454">
        <v>21137817</v>
      </c>
      <c r="N454">
        <v>21162263</v>
      </c>
      <c r="O454">
        <v>0</v>
      </c>
      <c r="P454">
        <v>0</v>
      </c>
      <c r="Q454">
        <v>24148630</v>
      </c>
      <c r="R454">
        <v>23830542</v>
      </c>
      <c r="S454">
        <v>6249033</v>
      </c>
      <c r="T454">
        <v>6169234</v>
      </c>
      <c r="U454">
        <v>0</v>
      </c>
      <c r="V454">
        <v>0</v>
      </c>
      <c r="W454">
        <v>0</v>
      </c>
      <c r="X454">
        <v>0</v>
      </c>
      <c r="Y454">
        <v>39898935</v>
      </c>
      <c r="Z454">
        <v>40302352</v>
      </c>
      <c r="AA454">
        <f t="shared" si="15"/>
        <v>-318088</v>
      </c>
      <c r="AB454">
        <f t="shared" si="14"/>
        <v>-1.3172092992438909</v>
      </c>
    </row>
    <row r="455" spans="1:28">
      <c r="A455" t="s">
        <v>42</v>
      </c>
      <c r="B455" s="2">
        <v>45047</v>
      </c>
      <c r="C455" s="2">
        <v>45017</v>
      </c>
      <c r="D455" s="2">
        <v>45139</v>
      </c>
      <c r="E455">
        <v>33835666</v>
      </c>
      <c r="F455">
        <v>33974362</v>
      </c>
      <c r="G455">
        <v>138696</v>
      </c>
      <c r="H455">
        <v>66.89</v>
      </c>
      <c r="I455">
        <v>860000</v>
      </c>
      <c r="J455" t="s">
        <v>29</v>
      </c>
      <c r="K455">
        <v>30.3</v>
      </c>
      <c r="L455">
        <v>31.16</v>
      </c>
      <c r="M455">
        <v>9847047</v>
      </c>
      <c r="N455">
        <v>10020846</v>
      </c>
      <c r="O455">
        <v>925</v>
      </c>
      <c r="P455">
        <v>925</v>
      </c>
      <c r="Q455">
        <v>11267067</v>
      </c>
      <c r="R455">
        <v>11163757</v>
      </c>
      <c r="S455">
        <v>0</v>
      </c>
      <c r="T455">
        <v>0</v>
      </c>
      <c r="U455">
        <v>0</v>
      </c>
      <c r="V455">
        <v>0</v>
      </c>
      <c r="W455">
        <v>458103</v>
      </c>
      <c r="X455">
        <v>455630</v>
      </c>
      <c r="Y455">
        <v>12262524</v>
      </c>
      <c r="Z455">
        <v>12333204</v>
      </c>
      <c r="AA455">
        <f t="shared" si="15"/>
        <v>-103310</v>
      </c>
      <c r="AB455">
        <f t="shared" si="14"/>
        <v>-0.91692008221838039</v>
      </c>
    </row>
    <row r="456" spans="1:28">
      <c r="A456" t="s">
        <v>43</v>
      </c>
      <c r="B456" s="2">
        <v>45047</v>
      </c>
      <c r="C456" s="2">
        <v>45017</v>
      </c>
      <c r="D456" s="2">
        <v>45139</v>
      </c>
      <c r="E456">
        <v>12343609</v>
      </c>
      <c r="F456">
        <v>12347293</v>
      </c>
      <c r="G456">
        <v>3684</v>
      </c>
      <c r="H456">
        <v>94.94</v>
      </c>
      <c r="I456">
        <v>670000</v>
      </c>
      <c r="J456" t="s">
        <v>29</v>
      </c>
      <c r="K456">
        <v>1.96</v>
      </c>
      <c r="L456">
        <v>2.63</v>
      </c>
      <c r="M456">
        <v>5959686</v>
      </c>
      <c r="N456">
        <v>5964169</v>
      </c>
      <c r="O456">
        <v>0</v>
      </c>
      <c r="P456">
        <v>0</v>
      </c>
      <c r="Q456">
        <v>928935</v>
      </c>
      <c r="R456">
        <v>917433</v>
      </c>
      <c r="S456">
        <v>1362179</v>
      </c>
      <c r="T456">
        <v>1356886</v>
      </c>
      <c r="U456">
        <v>0</v>
      </c>
      <c r="V456">
        <v>0</v>
      </c>
      <c r="W456">
        <v>0</v>
      </c>
      <c r="X456">
        <v>0</v>
      </c>
      <c r="Y456">
        <v>4092809</v>
      </c>
      <c r="Z456">
        <v>4108805</v>
      </c>
      <c r="AA456">
        <f t="shared" si="15"/>
        <v>-11502</v>
      </c>
      <c r="AB456">
        <f t="shared" si="14"/>
        <v>-1.2381921232379014</v>
      </c>
    </row>
    <row r="457" spans="1:28">
      <c r="A457" t="s">
        <v>44</v>
      </c>
      <c r="B457" s="2">
        <v>45047</v>
      </c>
      <c r="C457" s="2">
        <v>45017</v>
      </c>
      <c r="D457" s="2">
        <v>45139</v>
      </c>
      <c r="E457">
        <v>33215400</v>
      </c>
      <c r="F457">
        <v>33325690</v>
      </c>
      <c r="G457">
        <v>110290</v>
      </c>
      <c r="H457">
        <v>95.97</v>
      </c>
      <c r="I457">
        <v>280000</v>
      </c>
      <c r="J457" t="s">
        <v>29</v>
      </c>
      <c r="K457">
        <v>15.16</v>
      </c>
      <c r="L457">
        <v>15.44</v>
      </c>
      <c r="M457">
        <v>11272875</v>
      </c>
      <c r="N457">
        <v>11330083</v>
      </c>
      <c r="O457">
        <v>29</v>
      </c>
      <c r="P457">
        <v>29</v>
      </c>
      <c r="Q457">
        <v>1596649</v>
      </c>
      <c r="R457">
        <v>1580880</v>
      </c>
      <c r="S457">
        <v>6220306</v>
      </c>
      <c r="T457">
        <v>6212785</v>
      </c>
      <c r="U457">
        <v>0</v>
      </c>
      <c r="V457">
        <v>0</v>
      </c>
      <c r="W457">
        <v>0</v>
      </c>
      <c r="X457">
        <v>0</v>
      </c>
      <c r="Y457">
        <v>14125541</v>
      </c>
      <c r="Z457">
        <v>14201913</v>
      </c>
      <c r="AA457">
        <f t="shared" si="15"/>
        <v>-15769</v>
      </c>
      <c r="AB457">
        <f t="shared" si="14"/>
        <v>-0.98763096961198105</v>
      </c>
    </row>
    <row r="458" spans="1:28">
      <c r="A458" t="s">
        <v>45</v>
      </c>
      <c r="B458" s="2">
        <v>45047</v>
      </c>
      <c r="C458" s="2">
        <v>45017</v>
      </c>
      <c r="D458" s="2">
        <v>45139</v>
      </c>
      <c r="E458">
        <v>35446039</v>
      </c>
      <c r="F458">
        <v>35339999</v>
      </c>
      <c r="G458">
        <v>-106040</v>
      </c>
      <c r="H458">
        <v>93.33</v>
      </c>
      <c r="I458">
        <v>300000</v>
      </c>
      <c r="J458" t="s">
        <v>29</v>
      </c>
      <c r="K458">
        <v>28.98</v>
      </c>
      <c r="L458">
        <v>29.28</v>
      </c>
      <c r="M458">
        <v>12261917</v>
      </c>
      <c r="N458">
        <v>12270513</v>
      </c>
      <c r="O458">
        <v>106</v>
      </c>
      <c r="P458">
        <v>106</v>
      </c>
      <c r="Q458">
        <v>7104029</v>
      </c>
      <c r="R458">
        <v>6957971</v>
      </c>
      <c r="S458">
        <v>4636709</v>
      </c>
      <c r="T458">
        <v>4586885</v>
      </c>
      <c r="U458">
        <v>0</v>
      </c>
      <c r="V458">
        <v>0</v>
      </c>
      <c r="W458">
        <v>0</v>
      </c>
      <c r="X458">
        <v>0</v>
      </c>
      <c r="Y458">
        <v>11443278</v>
      </c>
      <c r="Z458">
        <v>11524524</v>
      </c>
      <c r="AA458">
        <f t="shared" si="15"/>
        <v>-146058</v>
      </c>
      <c r="AB458">
        <f t="shared" si="14"/>
        <v>-2.0559882286516564</v>
      </c>
    </row>
    <row r="459" spans="1:28">
      <c r="A459" t="s">
        <v>46</v>
      </c>
      <c r="B459" s="2">
        <v>45047</v>
      </c>
      <c r="C459" s="2">
        <v>45017</v>
      </c>
      <c r="D459" s="2">
        <v>45139</v>
      </c>
      <c r="E459">
        <v>63723675</v>
      </c>
      <c r="F459">
        <v>63924894</v>
      </c>
      <c r="G459">
        <v>201219</v>
      </c>
      <c r="H459">
        <v>92.33</v>
      </c>
      <c r="I459">
        <v>50000</v>
      </c>
      <c r="J459" t="s">
        <v>29</v>
      </c>
      <c r="K459">
        <v>58.29</v>
      </c>
      <c r="L459">
        <v>58.34</v>
      </c>
      <c r="M459">
        <v>22516495</v>
      </c>
      <c r="N459">
        <v>22743075</v>
      </c>
      <c r="O459">
        <v>155</v>
      </c>
      <c r="P459">
        <v>155</v>
      </c>
      <c r="Q459">
        <v>10150599</v>
      </c>
      <c r="R459">
        <v>9990444</v>
      </c>
      <c r="S459">
        <v>6020483</v>
      </c>
      <c r="T459">
        <v>5928371</v>
      </c>
      <c r="U459">
        <v>0</v>
      </c>
      <c r="V459">
        <v>0</v>
      </c>
      <c r="W459">
        <v>0</v>
      </c>
      <c r="X459">
        <v>0</v>
      </c>
      <c r="Y459">
        <v>25035943</v>
      </c>
      <c r="Z459">
        <v>25262849</v>
      </c>
      <c r="AA459">
        <f t="shared" si="15"/>
        <v>-160155</v>
      </c>
      <c r="AB459">
        <f t="shared" si="14"/>
        <v>-1.5777886605509686</v>
      </c>
    </row>
    <row r="460" spans="1:28">
      <c r="A460" t="s">
        <v>47</v>
      </c>
      <c r="B460" s="2">
        <v>45047</v>
      </c>
      <c r="C460" s="2">
        <v>45017</v>
      </c>
      <c r="D460" s="2">
        <v>45139</v>
      </c>
      <c r="E460">
        <v>78556552</v>
      </c>
      <c r="F460">
        <v>77914284</v>
      </c>
      <c r="G460">
        <v>-642268</v>
      </c>
      <c r="H460">
        <v>94.59</v>
      </c>
      <c r="I460">
        <v>790000</v>
      </c>
      <c r="J460" t="s">
        <v>29</v>
      </c>
      <c r="K460">
        <v>55.76</v>
      </c>
      <c r="L460">
        <v>56.55</v>
      </c>
      <c r="M460">
        <v>27840944</v>
      </c>
      <c r="N460">
        <v>27901544</v>
      </c>
      <c r="O460">
        <v>269</v>
      </c>
      <c r="P460">
        <v>262</v>
      </c>
      <c r="Q460">
        <v>16457624</v>
      </c>
      <c r="R460">
        <v>16340816</v>
      </c>
      <c r="S460">
        <v>9899833</v>
      </c>
      <c r="T460">
        <v>9190220</v>
      </c>
      <c r="U460">
        <v>114812</v>
      </c>
      <c r="V460">
        <v>127804</v>
      </c>
      <c r="W460">
        <v>0</v>
      </c>
      <c r="X460">
        <v>0</v>
      </c>
      <c r="Y460">
        <v>24243070</v>
      </c>
      <c r="Z460">
        <v>24353638</v>
      </c>
      <c r="AA460">
        <f t="shared" si="15"/>
        <v>-116808</v>
      </c>
      <c r="AB460">
        <f t="shared" si="14"/>
        <v>-0.70975008300104558</v>
      </c>
    </row>
    <row r="461" spans="1:28">
      <c r="A461" t="s">
        <v>48</v>
      </c>
      <c r="B461" s="2">
        <v>45047</v>
      </c>
      <c r="C461" s="2">
        <v>45017</v>
      </c>
      <c r="D461" s="2">
        <v>45139</v>
      </c>
      <c r="E461">
        <v>99626681</v>
      </c>
      <c r="F461">
        <v>99532824</v>
      </c>
      <c r="G461">
        <v>-93857</v>
      </c>
      <c r="H461">
        <v>93.29</v>
      </c>
      <c r="I461">
        <v>880000</v>
      </c>
      <c r="J461" t="s">
        <v>29</v>
      </c>
      <c r="K461">
        <v>72.33</v>
      </c>
      <c r="L461">
        <v>73.209999999999994</v>
      </c>
      <c r="M461">
        <v>36545104</v>
      </c>
      <c r="N461">
        <v>36629543</v>
      </c>
      <c r="O461">
        <v>0</v>
      </c>
      <c r="P461">
        <v>0</v>
      </c>
      <c r="Q461">
        <v>18690203</v>
      </c>
      <c r="R461">
        <v>18298890</v>
      </c>
      <c r="S461">
        <v>8652063</v>
      </c>
      <c r="T461">
        <v>8695592</v>
      </c>
      <c r="U461">
        <v>0</v>
      </c>
      <c r="V461">
        <v>0</v>
      </c>
      <c r="W461">
        <v>0</v>
      </c>
      <c r="X461">
        <v>0</v>
      </c>
      <c r="Y461">
        <v>35739311</v>
      </c>
      <c r="Z461">
        <v>35908799</v>
      </c>
      <c r="AA461">
        <f t="shared" si="15"/>
        <v>-391313</v>
      </c>
      <c r="AB461">
        <f t="shared" si="14"/>
        <v>-2.093679774371632</v>
      </c>
    </row>
    <row r="462" spans="1:28">
      <c r="A462" t="s">
        <v>49</v>
      </c>
      <c r="B462" s="2">
        <v>45047</v>
      </c>
      <c r="C462" s="2">
        <v>45017</v>
      </c>
      <c r="D462" s="2">
        <v>45139</v>
      </c>
      <c r="E462">
        <v>62278739</v>
      </c>
      <c r="F462">
        <v>62366651</v>
      </c>
      <c r="G462">
        <v>87912</v>
      </c>
      <c r="H462">
        <v>93.42</v>
      </c>
      <c r="I462">
        <v>730000</v>
      </c>
      <c r="J462" t="s">
        <v>29</v>
      </c>
      <c r="K462">
        <v>56.2</v>
      </c>
      <c r="L462">
        <v>56.93</v>
      </c>
      <c r="M462">
        <v>18302909</v>
      </c>
      <c r="N462">
        <v>18327556</v>
      </c>
      <c r="O462">
        <v>8</v>
      </c>
      <c r="P462">
        <v>8</v>
      </c>
      <c r="Q462">
        <v>16336895</v>
      </c>
      <c r="R462">
        <v>16182069</v>
      </c>
      <c r="S462">
        <v>5372662</v>
      </c>
      <c r="T462">
        <v>5311274</v>
      </c>
      <c r="U462">
        <v>0</v>
      </c>
      <c r="V462">
        <v>0</v>
      </c>
      <c r="W462">
        <v>0</v>
      </c>
      <c r="X462">
        <v>0</v>
      </c>
      <c r="Y462">
        <v>22266265</v>
      </c>
      <c r="Z462">
        <v>22545744</v>
      </c>
      <c r="AA462">
        <f t="shared" si="15"/>
        <v>-154826</v>
      </c>
      <c r="AB462">
        <f t="shared" si="14"/>
        <v>-0.94770762742859038</v>
      </c>
    </row>
    <row r="463" spans="1:28">
      <c r="A463" t="s">
        <v>50</v>
      </c>
      <c r="B463" s="2">
        <v>45047</v>
      </c>
      <c r="C463" s="2">
        <v>45017</v>
      </c>
      <c r="D463" s="2">
        <v>45139</v>
      </c>
      <c r="E463">
        <v>56582245</v>
      </c>
      <c r="F463">
        <v>56466660</v>
      </c>
      <c r="G463">
        <v>-115585</v>
      </c>
      <c r="H463">
        <v>90.84</v>
      </c>
      <c r="I463">
        <v>940000</v>
      </c>
      <c r="J463" t="s">
        <v>29</v>
      </c>
      <c r="K463">
        <v>45.17</v>
      </c>
      <c r="L463">
        <v>46.11</v>
      </c>
      <c r="M463">
        <v>16903592</v>
      </c>
      <c r="N463">
        <v>17020114</v>
      </c>
      <c r="O463">
        <v>147</v>
      </c>
      <c r="P463">
        <v>147</v>
      </c>
      <c r="Q463">
        <v>14272647</v>
      </c>
      <c r="R463">
        <v>14029454</v>
      </c>
      <c r="S463">
        <v>2484821</v>
      </c>
      <c r="T463">
        <v>2497494</v>
      </c>
      <c r="U463">
        <v>0</v>
      </c>
      <c r="V463">
        <v>0</v>
      </c>
      <c r="W463">
        <v>0</v>
      </c>
      <c r="X463">
        <v>0</v>
      </c>
      <c r="Y463">
        <v>22921038</v>
      </c>
      <c r="Z463">
        <v>22919451</v>
      </c>
      <c r="AA463">
        <f t="shared" si="15"/>
        <v>-243193</v>
      </c>
      <c r="AB463">
        <f t="shared" si="14"/>
        <v>-1.7039095831347895</v>
      </c>
    </row>
    <row r="464" spans="1:28">
      <c r="A464" t="s">
        <v>28</v>
      </c>
      <c r="B464" s="2">
        <v>45078</v>
      </c>
      <c r="C464" s="2">
        <v>45047</v>
      </c>
      <c r="D464" s="2">
        <v>45162</v>
      </c>
      <c r="E464">
        <v>82599706</v>
      </c>
      <c r="F464">
        <v>82342264</v>
      </c>
      <c r="G464">
        <v>-257442</v>
      </c>
      <c r="H464">
        <v>93.57</v>
      </c>
      <c r="I464">
        <v>510000</v>
      </c>
      <c r="J464" t="s">
        <v>29</v>
      </c>
      <c r="K464">
        <v>59.36</v>
      </c>
      <c r="L464">
        <v>59.87</v>
      </c>
      <c r="M464">
        <v>32578763</v>
      </c>
      <c r="N464">
        <v>32770911</v>
      </c>
      <c r="O464">
        <v>0</v>
      </c>
      <c r="P464">
        <v>0</v>
      </c>
      <c r="Q464">
        <v>11447975</v>
      </c>
      <c r="R464">
        <v>11363635</v>
      </c>
      <c r="S464">
        <v>7934099</v>
      </c>
      <c r="T464">
        <v>7557631</v>
      </c>
      <c r="U464">
        <v>0</v>
      </c>
      <c r="V464">
        <v>0</v>
      </c>
      <c r="W464">
        <v>0</v>
      </c>
      <c r="X464">
        <v>0</v>
      </c>
      <c r="Y464">
        <v>30638869</v>
      </c>
      <c r="Z464">
        <v>30650087</v>
      </c>
      <c r="AA464">
        <f t="shared" si="15"/>
        <v>-84340</v>
      </c>
      <c r="AB464">
        <f t="shared" si="14"/>
        <v>-0.73672418047733335</v>
      </c>
    </row>
    <row r="465" spans="1:28">
      <c r="A465" t="s">
        <v>30</v>
      </c>
      <c r="B465" s="2">
        <v>45078</v>
      </c>
      <c r="C465" s="2">
        <v>45047</v>
      </c>
      <c r="D465" s="2">
        <v>45162</v>
      </c>
      <c r="E465">
        <v>25197357</v>
      </c>
      <c r="F465">
        <v>25197493</v>
      </c>
      <c r="G465">
        <v>136</v>
      </c>
      <c r="H465">
        <v>94.06</v>
      </c>
      <c r="I465">
        <v>60000</v>
      </c>
      <c r="J465" t="s">
        <v>29</v>
      </c>
      <c r="K465">
        <v>5.98</v>
      </c>
      <c r="L465">
        <v>6.04</v>
      </c>
      <c r="M465">
        <v>11140124</v>
      </c>
      <c r="N465">
        <v>11150514</v>
      </c>
      <c r="O465">
        <v>0</v>
      </c>
      <c r="P465">
        <v>0</v>
      </c>
      <c r="Q465">
        <v>1937529</v>
      </c>
      <c r="R465">
        <v>1912053</v>
      </c>
      <c r="S465">
        <v>3191181</v>
      </c>
      <c r="T465">
        <v>3193282</v>
      </c>
      <c r="U465">
        <v>0</v>
      </c>
      <c r="V465">
        <v>0</v>
      </c>
      <c r="W465">
        <v>0</v>
      </c>
      <c r="X465">
        <v>0</v>
      </c>
      <c r="Y465">
        <v>8928523</v>
      </c>
      <c r="Z465">
        <v>8941644</v>
      </c>
      <c r="AA465">
        <f t="shared" si="15"/>
        <v>-25476</v>
      </c>
      <c r="AB465">
        <f t="shared" si="14"/>
        <v>-1.314870641936198</v>
      </c>
    </row>
    <row r="466" spans="1:28">
      <c r="A466" t="s">
        <v>31</v>
      </c>
      <c r="B466" s="2">
        <v>45078</v>
      </c>
      <c r="C466" s="2">
        <v>45047</v>
      </c>
      <c r="D466" s="2">
        <v>45162</v>
      </c>
      <c r="E466">
        <v>92034660</v>
      </c>
      <c r="F466">
        <v>92456756</v>
      </c>
      <c r="G466">
        <v>422096</v>
      </c>
      <c r="H466">
        <v>91.31</v>
      </c>
      <c r="I466">
        <v>800000</v>
      </c>
      <c r="J466" t="s">
        <v>29</v>
      </c>
      <c r="K466">
        <v>44.72</v>
      </c>
      <c r="L466">
        <v>45.52</v>
      </c>
      <c r="M466">
        <v>40422573</v>
      </c>
      <c r="N466">
        <v>40594914</v>
      </c>
      <c r="O466">
        <v>0</v>
      </c>
      <c r="P466">
        <v>0</v>
      </c>
      <c r="Q466">
        <v>8133798</v>
      </c>
      <c r="R466">
        <v>8058206</v>
      </c>
      <c r="S466">
        <v>5833901</v>
      </c>
      <c r="T466">
        <v>5862287</v>
      </c>
      <c r="U466">
        <v>0</v>
      </c>
      <c r="V466">
        <v>0</v>
      </c>
      <c r="W466">
        <v>0</v>
      </c>
      <c r="X466">
        <v>0</v>
      </c>
      <c r="Y466">
        <v>37644388</v>
      </c>
      <c r="Z466">
        <v>37941349</v>
      </c>
      <c r="AA466">
        <f t="shared" si="15"/>
        <v>-75592</v>
      </c>
      <c r="AB466">
        <f t="shared" si="14"/>
        <v>-0.92935674084849407</v>
      </c>
    </row>
    <row r="467" spans="1:28">
      <c r="A467" t="s">
        <v>32</v>
      </c>
      <c r="B467" s="2">
        <v>45078</v>
      </c>
      <c r="C467" s="2">
        <v>45047</v>
      </c>
      <c r="D467" s="2">
        <v>45162</v>
      </c>
      <c r="E467">
        <v>54423991</v>
      </c>
      <c r="F467">
        <v>54411573</v>
      </c>
      <c r="G467">
        <v>-12418</v>
      </c>
      <c r="H467">
        <v>59.99</v>
      </c>
      <c r="I467">
        <v>650000</v>
      </c>
      <c r="J467" t="s">
        <v>29</v>
      </c>
      <c r="K467">
        <v>40.340000000000003</v>
      </c>
      <c r="L467">
        <v>40.99</v>
      </c>
      <c r="M467">
        <v>17156018</v>
      </c>
      <c r="N467">
        <v>17231813</v>
      </c>
      <c r="O467">
        <v>23</v>
      </c>
      <c r="P467">
        <v>23</v>
      </c>
      <c r="Q467">
        <v>16509158</v>
      </c>
      <c r="R467">
        <v>16347957</v>
      </c>
      <c r="S467">
        <v>0</v>
      </c>
      <c r="T467">
        <v>0</v>
      </c>
      <c r="U467">
        <v>0</v>
      </c>
      <c r="V467">
        <v>0</v>
      </c>
      <c r="W467">
        <v>1689274</v>
      </c>
      <c r="X467">
        <v>1688927</v>
      </c>
      <c r="Y467">
        <v>19069518</v>
      </c>
      <c r="Z467">
        <v>19142853</v>
      </c>
      <c r="AA467">
        <f t="shared" si="15"/>
        <v>-161201</v>
      </c>
      <c r="AB467">
        <f t="shared" si="14"/>
        <v>-0.9764338072238451</v>
      </c>
    </row>
    <row r="468" spans="1:28">
      <c r="A468" t="s">
        <v>33</v>
      </c>
      <c r="B468" s="2">
        <v>45078</v>
      </c>
      <c r="C468" s="2">
        <v>45047</v>
      </c>
      <c r="D468" s="2">
        <v>45162</v>
      </c>
      <c r="E468">
        <v>66235604</v>
      </c>
      <c r="F468">
        <v>66155327</v>
      </c>
      <c r="G468">
        <v>-80277</v>
      </c>
      <c r="H468">
        <v>92.37</v>
      </c>
      <c r="I468">
        <v>1240000</v>
      </c>
      <c r="J468" t="s">
        <v>29</v>
      </c>
      <c r="K468">
        <v>56.81</v>
      </c>
      <c r="L468">
        <v>58.05</v>
      </c>
      <c r="M468">
        <v>11373055</v>
      </c>
      <c r="N468">
        <v>11410888</v>
      </c>
      <c r="O468">
        <v>47</v>
      </c>
      <c r="P468">
        <v>47</v>
      </c>
      <c r="Q468">
        <v>21932937</v>
      </c>
      <c r="R468">
        <v>21823572</v>
      </c>
      <c r="S468">
        <v>5028454</v>
      </c>
      <c r="T468">
        <v>5048755</v>
      </c>
      <c r="U468">
        <v>0</v>
      </c>
      <c r="V468">
        <v>0</v>
      </c>
      <c r="W468">
        <v>0</v>
      </c>
      <c r="X468">
        <v>0</v>
      </c>
      <c r="Y468">
        <v>27901111</v>
      </c>
      <c r="Z468">
        <v>27872065</v>
      </c>
      <c r="AA468">
        <f t="shared" si="15"/>
        <v>-109365</v>
      </c>
      <c r="AB468">
        <f t="shared" si="14"/>
        <v>-0.49863363032502211</v>
      </c>
    </row>
    <row r="469" spans="1:28">
      <c r="A469" t="s">
        <v>34</v>
      </c>
      <c r="B469" s="2">
        <v>45078</v>
      </c>
      <c r="C469" s="2">
        <v>45047</v>
      </c>
      <c r="D469" s="2">
        <v>45162</v>
      </c>
      <c r="E469">
        <v>26474965</v>
      </c>
      <c r="F469">
        <v>26483147</v>
      </c>
      <c r="G469">
        <v>8182</v>
      </c>
      <c r="H469">
        <v>90.11</v>
      </c>
      <c r="I469">
        <v>600000</v>
      </c>
      <c r="J469" t="s">
        <v>29</v>
      </c>
      <c r="K469">
        <v>26.78</v>
      </c>
      <c r="L469">
        <v>27.38</v>
      </c>
      <c r="M469">
        <v>6551136</v>
      </c>
      <c r="N469">
        <v>6563357</v>
      </c>
      <c r="O469">
        <v>11</v>
      </c>
      <c r="P469">
        <v>11</v>
      </c>
      <c r="Q469">
        <v>7254897</v>
      </c>
      <c r="R469">
        <v>7235095</v>
      </c>
      <c r="S469">
        <v>4438346</v>
      </c>
      <c r="T469">
        <v>4465526</v>
      </c>
      <c r="U469">
        <v>0</v>
      </c>
      <c r="V469">
        <v>0</v>
      </c>
      <c r="W469">
        <v>0</v>
      </c>
      <c r="X469">
        <v>0</v>
      </c>
      <c r="Y469">
        <v>8230575</v>
      </c>
      <c r="Z469">
        <v>8219158</v>
      </c>
      <c r="AA469">
        <f t="shared" si="15"/>
        <v>-19802</v>
      </c>
      <c r="AB469">
        <f t="shared" si="14"/>
        <v>-0.27294667312299542</v>
      </c>
    </row>
    <row r="470" spans="1:28">
      <c r="A470" t="s">
        <v>35</v>
      </c>
      <c r="B470" s="2">
        <v>45078</v>
      </c>
      <c r="C470" s="2">
        <v>45047</v>
      </c>
      <c r="D470" s="2">
        <v>45162</v>
      </c>
      <c r="E470">
        <v>8783227</v>
      </c>
      <c r="F470">
        <v>8793329</v>
      </c>
      <c r="G470">
        <v>10102</v>
      </c>
      <c r="H470">
        <v>118.61</v>
      </c>
      <c r="I470">
        <v>-560000</v>
      </c>
      <c r="J470" t="s">
        <v>29</v>
      </c>
      <c r="K470">
        <v>4.29</v>
      </c>
      <c r="L470">
        <v>3.73</v>
      </c>
      <c r="M470">
        <v>3423864</v>
      </c>
      <c r="N470">
        <v>3439537</v>
      </c>
      <c r="O470">
        <v>92</v>
      </c>
      <c r="P470">
        <v>92</v>
      </c>
      <c r="Q470">
        <v>442699</v>
      </c>
      <c r="R470">
        <v>433472</v>
      </c>
      <c r="S470">
        <v>1603132</v>
      </c>
      <c r="T470">
        <v>1610092</v>
      </c>
      <c r="U470">
        <v>0</v>
      </c>
      <c r="V470">
        <v>0</v>
      </c>
      <c r="W470">
        <v>0</v>
      </c>
      <c r="X470">
        <v>0</v>
      </c>
      <c r="Y470">
        <v>3313440</v>
      </c>
      <c r="Z470">
        <v>3310136</v>
      </c>
      <c r="AA470">
        <f t="shared" si="15"/>
        <v>-9227</v>
      </c>
      <c r="AB470">
        <f t="shared" si="14"/>
        <v>-2.0842604117018562</v>
      </c>
    </row>
    <row r="471" spans="1:28">
      <c r="A471" t="s">
        <v>36</v>
      </c>
      <c r="B471" s="2">
        <v>45078</v>
      </c>
      <c r="C471" s="2">
        <v>45047</v>
      </c>
      <c r="D471" s="2">
        <v>45162</v>
      </c>
      <c r="E471">
        <v>12130608</v>
      </c>
      <c r="F471">
        <v>12220222</v>
      </c>
      <c r="G471">
        <v>89614</v>
      </c>
      <c r="H471">
        <v>88.68</v>
      </c>
      <c r="I471">
        <v>-350000</v>
      </c>
      <c r="J471" t="s">
        <v>29</v>
      </c>
      <c r="K471">
        <v>2.36</v>
      </c>
      <c r="L471">
        <v>2.0099999999999998</v>
      </c>
      <c r="M471">
        <v>5866248</v>
      </c>
      <c r="N471">
        <v>5917428</v>
      </c>
      <c r="O471">
        <v>0</v>
      </c>
      <c r="P471">
        <v>0</v>
      </c>
      <c r="Q471">
        <v>335707</v>
      </c>
      <c r="R471">
        <v>322864</v>
      </c>
      <c r="S471">
        <v>828900</v>
      </c>
      <c r="T471">
        <v>831303</v>
      </c>
      <c r="U471">
        <v>0</v>
      </c>
      <c r="V471">
        <v>0</v>
      </c>
      <c r="W471">
        <v>0</v>
      </c>
      <c r="X471">
        <v>0</v>
      </c>
      <c r="Y471">
        <v>5099753</v>
      </c>
      <c r="Z471">
        <v>5148627</v>
      </c>
      <c r="AA471">
        <f t="shared" si="15"/>
        <v>-12843</v>
      </c>
      <c r="AB471">
        <f t="shared" si="14"/>
        <v>-3.8256574929924012</v>
      </c>
    </row>
    <row r="472" spans="1:28">
      <c r="A472" t="s">
        <v>37</v>
      </c>
      <c r="B472" s="2">
        <v>45078</v>
      </c>
      <c r="C472" s="2">
        <v>45047</v>
      </c>
      <c r="D472" s="2">
        <v>45162</v>
      </c>
      <c r="E472">
        <v>65565448</v>
      </c>
      <c r="F472">
        <v>65849789</v>
      </c>
      <c r="G472">
        <v>284341</v>
      </c>
      <c r="H472">
        <v>87.74</v>
      </c>
      <c r="I472">
        <v>590000</v>
      </c>
      <c r="J472" t="s">
        <v>29</v>
      </c>
      <c r="K472">
        <v>60.98</v>
      </c>
      <c r="L472">
        <v>61.57</v>
      </c>
      <c r="M472">
        <v>31365250</v>
      </c>
      <c r="N472">
        <v>31577632</v>
      </c>
      <c r="O472">
        <v>589</v>
      </c>
      <c r="P472">
        <v>589</v>
      </c>
      <c r="Q472">
        <v>6777831</v>
      </c>
      <c r="R472">
        <v>6676091</v>
      </c>
      <c r="S472">
        <v>5437302</v>
      </c>
      <c r="T472">
        <v>5414427</v>
      </c>
      <c r="U472">
        <v>0</v>
      </c>
      <c r="V472">
        <v>0</v>
      </c>
      <c r="W472">
        <v>0</v>
      </c>
      <c r="X472">
        <v>0</v>
      </c>
      <c r="Y472">
        <v>21984476</v>
      </c>
      <c r="Z472">
        <v>22181050</v>
      </c>
      <c r="AA472">
        <f t="shared" si="15"/>
        <v>-101740</v>
      </c>
      <c r="AB472">
        <f t="shared" si="14"/>
        <v>-1.5010701801210447</v>
      </c>
    </row>
    <row r="473" spans="1:28">
      <c r="A473" t="s">
        <v>38</v>
      </c>
      <c r="B473" s="2">
        <v>45078</v>
      </c>
      <c r="C473" s="2">
        <v>45047</v>
      </c>
      <c r="D473" s="2">
        <v>45162</v>
      </c>
      <c r="E473">
        <v>42204585</v>
      </c>
      <c r="F473">
        <v>42290688</v>
      </c>
      <c r="G473">
        <v>86103</v>
      </c>
      <c r="H473">
        <v>93.97</v>
      </c>
      <c r="I473">
        <v>80000</v>
      </c>
      <c r="J473" t="s">
        <v>29</v>
      </c>
      <c r="K473">
        <v>21.33</v>
      </c>
      <c r="L473">
        <v>21.41</v>
      </c>
      <c r="M473">
        <v>8045718</v>
      </c>
      <c r="N473">
        <v>8092740</v>
      </c>
      <c r="O473">
        <v>113</v>
      </c>
      <c r="P473">
        <v>113</v>
      </c>
      <c r="Q473">
        <v>14245870</v>
      </c>
      <c r="R473">
        <v>14203668</v>
      </c>
      <c r="S473">
        <v>9719202</v>
      </c>
      <c r="T473">
        <v>9729281</v>
      </c>
      <c r="U473">
        <v>0</v>
      </c>
      <c r="V473">
        <v>0</v>
      </c>
      <c r="W473">
        <v>0</v>
      </c>
      <c r="X473">
        <v>0</v>
      </c>
      <c r="Y473">
        <v>10193682</v>
      </c>
      <c r="Z473">
        <v>10264886</v>
      </c>
      <c r="AA473">
        <f t="shared" si="15"/>
        <v>-42202</v>
      </c>
      <c r="AB473">
        <f t="shared" si="14"/>
        <v>-0.29624024366360213</v>
      </c>
    </row>
    <row r="474" spans="1:28">
      <c r="A474" t="s">
        <v>39</v>
      </c>
      <c r="B474" s="2">
        <v>45078</v>
      </c>
      <c r="C474" s="2">
        <v>45047</v>
      </c>
      <c r="D474" s="2">
        <v>45162</v>
      </c>
      <c r="E474">
        <v>23954371</v>
      </c>
      <c r="F474">
        <v>23940454</v>
      </c>
      <c r="G474">
        <v>-13917</v>
      </c>
      <c r="H474">
        <v>89.34</v>
      </c>
      <c r="I474">
        <v>-190000</v>
      </c>
      <c r="J474" t="s">
        <v>29</v>
      </c>
      <c r="K474">
        <v>16.54</v>
      </c>
      <c r="L474">
        <v>16.350000000000001</v>
      </c>
      <c r="M474">
        <v>5648094</v>
      </c>
      <c r="N474">
        <v>5651788</v>
      </c>
      <c r="O474">
        <v>0</v>
      </c>
      <c r="P474">
        <v>0</v>
      </c>
      <c r="Q474">
        <v>5686855</v>
      </c>
      <c r="R474">
        <v>5638643</v>
      </c>
      <c r="S474">
        <v>2185623</v>
      </c>
      <c r="T474">
        <v>2188790</v>
      </c>
      <c r="U474">
        <v>0</v>
      </c>
      <c r="V474">
        <v>0</v>
      </c>
      <c r="W474">
        <v>0</v>
      </c>
      <c r="X474">
        <v>0</v>
      </c>
      <c r="Y474">
        <v>10433799</v>
      </c>
      <c r="Z474">
        <v>10461233</v>
      </c>
      <c r="AA474">
        <f t="shared" si="15"/>
        <v>-48212</v>
      </c>
      <c r="AB474">
        <f t="shared" si="14"/>
        <v>-0.847779660286749</v>
      </c>
    </row>
    <row r="475" spans="1:28">
      <c r="A475" t="s">
        <v>40</v>
      </c>
      <c r="B475" s="2">
        <v>45078</v>
      </c>
      <c r="C475" s="2">
        <v>45047</v>
      </c>
      <c r="D475" s="2">
        <v>45162</v>
      </c>
      <c r="E475">
        <v>76943343</v>
      </c>
      <c r="F475">
        <v>77127494</v>
      </c>
      <c r="G475">
        <v>184151</v>
      </c>
      <c r="H475">
        <v>86.17</v>
      </c>
      <c r="I475">
        <v>630000</v>
      </c>
      <c r="J475" t="s">
        <v>29</v>
      </c>
      <c r="K475">
        <v>64.36</v>
      </c>
      <c r="L475">
        <v>64.989999999999995</v>
      </c>
      <c r="M475">
        <v>15375233</v>
      </c>
      <c r="N475">
        <v>15482919</v>
      </c>
      <c r="O475">
        <v>0</v>
      </c>
      <c r="P475">
        <v>0</v>
      </c>
      <c r="Q475">
        <v>16943923</v>
      </c>
      <c r="R475">
        <v>16809837</v>
      </c>
      <c r="S475">
        <v>5214330</v>
      </c>
      <c r="T475">
        <v>5172636</v>
      </c>
      <c r="U475">
        <v>0</v>
      </c>
      <c r="V475">
        <v>0</v>
      </c>
      <c r="W475">
        <v>0</v>
      </c>
      <c r="X475">
        <v>0</v>
      </c>
      <c r="Y475">
        <v>39409857</v>
      </c>
      <c r="Z475">
        <v>39662102</v>
      </c>
      <c r="AA475">
        <f t="shared" si="15"/>
        <v>-134086</v>
      </c>
      <c r="AB475">
        <f t="shared" si="14"/>
        <v>-0.79135156598622403</v>
      </c>
    </row>
    <row r="476" spans="1:28">
      <c r="A476" t="s">
        <v>41</v>
      </c>
      <c r="B476" s="2">
        <v>45078</v>
      </c>
      <c r="C476" s="2">
        <v>45047</v>
      </c>
      <c r="D476" s="2">
        <v>45162</v>
      </c>
      <c r="E476">
        <v>91464391</v>
      </c>
      <c r="F476">
        <v>92003849</v>
      </c>
      <c r="G476">
        <v>539458</v>
      </c>
      <c r="H476">
        <v>91.63</v>
      </c>
      <c r="I476">
        <v>1650000</v>
      </c>
      <c r="J476" t="s">
        <v>29</v>
      </c>
      <c r="K476">
        <v>68.62</v>
      </c>
      <c r="L476">
        <v>70.27</v>
      </c>
      <c r="M476">
        <v>21162263</v>
      </c>
      <c r="N476">
        <v>21213764</v>
      </c>
      <c r="O476">
        <v>0</v>
      </c>
      <c r="P476">
        <v>0</v>
      </c>
      <c r="Q476">
        <v>23830542</v>
      </c>
      <c r="R476">
        <v>23683451</v>
      </c>
      <c r="S476">
        <v>6169234</v>
      </c>
      <c r="T476">
        <v>6205219</v>
      </c>
      <c r="U476">
        <v>0</v>
      </c>
      <c r="V476">
        <v>0</v>
      </c>
      <c r="W476">
        <v>0</v>
      </c>
      <c r="X476">
        <v>0</v>
      </c>
      <c r="Y476">
        <v>40302352</v>
      </c>
      <c r="Z476">
        <v>40901415</v>
      </c>
      <c r="AA476">
        <f t="shared" si="15"/>
        <v>-147091</v>
      </c>
      <c r="AB476">
        <f t="shared" si="14"/>
        <v>-0.61723732510993667</v>
      </c>
    </row>
    <row r="477" spans="1:28">
      <c r="A477" t="s">
        <v>42</v>
      </c>
      <c r="B477" s="2">
        <v>45078</v>
      </c>
      <c r="C477" s="2">
        <v>45047</v>
      </c>
      <c r="D477" s="2">
        <v>45162</v>
      </c>
      <c r="E477">
        <v>33974362</v>
      </c>
      <c r="F477">
        <v>33793498</v>
      </c>
      <c r="G477">
        <v>-180864</v>
      </c>
      <c r="H477">
        <v>68.94</v>
      </c>
      <c r="I477">
        <v>-420000</v>
      </c>
      <c r="J477" t="s">
        <v>29</v>
      </c>
      <c r="K477">
        <v>31.16</v>
      </c>
      <c r="L477">
        <v>30.74</v>
      </c>
      <c r="M477">
        <v>10020846</v>
      </c>
      <c r="N477">
        <v>9931749</v>
      </c>
      <c r="O477">
        <v>925</v>
      </c>
      <c r="P477">
        <v>925</v>
      </c>
      <c r="Q477">
        <v>11163757</v>
      </c>
      <c r="R477">
        <v>11132998</v>
      </c>
      <c r="S477">
        <v>0</v>
      </c>
      <c r="T477">
        <v>0</v>
      </c>
      <c r="U477">
        <v>0</v>
      </c>
      <c r="V477">
        <v>0</v>
      </c>
      <c r="W477">
        <v>455630</v>
      </c>
      <c r="X477">
        <v>303065</v>
      </c>
      <c r="Y477">
        <v>12333204</v>
      </c>
      <c r="Z477">
        <v>12424761</v>
      </c>
      <c r="AA477">
        <f t="shared" si="15"/>
        <v>-30759</v>
      </c>
      <c r="AB477">
        <f t="shared" si="14"/>
        <v>-0.27552552424779575</v>
      </c>
    </row>
    <row r="478" spans="1:28">
      <c r="A478" t="s">
        <v>43</v>
      </c>
      <c r="B478" s="2">
        <v>45078</v>
      </c>
      <c r="C478" s="2">
        <v>45047</v>
      </c>
      <c r="D478" s="2">
        <v>45162</v>
      </c>
      <c r="E478">
        <v>12347293</v>
      </c>
      <c r="F478">
        <v>12297690</v>
      </c>
      <c r="G478">
        <v>-49603</v>
      </c>
      <c r="H478">
        <v>94.57</v>
      </c>
      <c r="I478">
        <v>-630000</v>
      </c>
      <c r="J478" t="s">
        <v>29</v>
      </c>
      <c r="K478">
        <v>2.63</v>
      </c>
      <c r="L478">
        <v>2</v>
      </c>
      <c r="M478">
        <v>5964169</v>
      </c>
      <c r="N478">
        <v>5991059</v>
      </c>
      <c r="O478">
        <v>0</v>
      </c>
      <c r="P478">
        <v>0</v>
      </c>
      <c r="Q478">
        <v>917433</v>
      </c>
      <c r="R478">
        <v>921680</v>
      </c>
      <c r="S478">
        <v>1356886</v>
      </c>
      <c r="T478">
        <v>1281663</v>
      </c>
      <c r="U478">
        <v>0</v>
      </c>
      <c r="V478">
        <v>0</v>
      </c>
      <c r="W478">
        <v>0</v>
      </c>
      <c r="X478">
        <v>0</v>
      </c>
      <c r="Y478">
        <v>4108805</v>
      </c>
      <c r="Z478">
        <v>4103288</v>
      </c>
      <c r="AA478">
        <f t="shared" si="15"/>
        <v>4247</v>
      </c>
      <c r="AB478">
        <f t="shared" si="14"/>
        <v>0.46292208804348656</v>
      </c>
    </row>
    <row r="479" spans="1:28">
      <c r="A479" t="s">
        <v>44</v>
      </c>
      <c r="B479" s="2">
        <v>45078</v>
      </c>
      <c r="C479" s="2">
        <v>45047</v>
      </c>
      <c r="D479" s="2">
        <v>45162</v>
      </c>
      <c r="E479">
        <v>33325690</v>
      </c>
      <c r="F479">
        <v>33411044</v>
      </c>
      <c r="G479">
        <v>85354</v>
      </c>
      <c r="H479">
        <v>94.04</v>
      </c>
      <c r="I479">
        <v>40000</v>
      </c>
      <c r="J479" t="s">
        <v>29</v>
      </c>
      <c r="K479">
        <v>15.44</v>
      </c>
      <c r="L479">
        <v>15.48</v>
      </c>
      <c r="M479">
        <v>11330083</v>
      </c>
      <c r="N479">
        <v>11385490</v>
      </c>
      <c r="O479">
        <v>29</v>
      </c>
      <c r="P479">
        <v>29</v>
      </c>
      <c r="Q479">
        <v>1580880</v>
      </c>
      <c r="R479">
        <v>1597870</v>
      </c>
      <c r="S479">
        <v>6212785</v>
      </c>
      <c r="T479">
        <v>6210662</v>
      </c>
      <c r="U479">
        <v>0</v>
      </c>
      <c r="V479">
        <v>0</v>
      </c>
      <c r="W479">
        <v>0</v>
      </c>
      <c r="X479">
        <v>0</v>
      </c>
      <c r="Y479">
        <v>14201913</v>
      </c>
      <c r="Z479">
        <v>14216993</v>
      </c>
      <c r="AA479">
        <f t="shared" si="15"/>
        <v>16990</v>
      </c>
      <c r="AB479">
        <f t="shared" si="14"/>
        <v>1.0747178786498659</v>
      </c>
    </row>
    <row r="480" spans="1:28">
      <c r="A480" t="s">
        <v>45</v>
      </c>
      <c r="B480" s="2">
        <v>45078</v>
      </c>
      <c r="C480" s="2">
        <v>45047</v>
      </c>
      <c r="D480" s="2">
        <v>45162</v>
      </c>
      <c r="E480">
        <v>35339999</v>
      </c>
      <c r="F480">
        <v>35253865</v>
      </c>
      <c r="G480">
        <v>-86134</v>
      </c>
      <c r="H480">
        <v>92.8</v>
      </c>
      <c r="I480">
        <v>290000</v>
      </c>
      <c r="J480" t="s">
        <v>29</v>
      </c>
      <c r="K480">
        <v>29.28</v>
      </c>
      <c r="L480">
        <v>29.57</v>
      </c>
      <c r="M480">
        <v>12270513</v>
      </c>
      <c r="N480">
        <v>12267328</v>
      </c>
      <c r="O480">
        <v>106</v>
      </c>
      <c r="P480">
        <v>106</v>
      </c>
      <c r="Q480">
        <v>6957971</v>
      </c>
      <c r="R480">
        <v>6900358</v>
      </c>
      <c r="S480">
        <v>4586885</v>
      </c>
      <c r="T480">
        <v>4577542</v>
      </c>
      <c r="U480">
        <v>0</v>
      </c>
      <c r="V480">
        <v>0</v>
      </c>
      <c r="W480">
        <v>0</v>
      </c>
      <c r="X480">
        <v>0</v>
      </c>
      <c r="Y480">
        <v>11524524</v>
      </c>
      <c r="Z480">
        <v>11508531</v>
      </c>
      <c r="AA480">
        <f t="shared" si="15"/>
        <v>-57613</v>
      </c>
      <c r="AB480">
        <f t="shared" si="14"/>
        <v>-0.8280143737305028</v>
      </c>
    </row>
    <row r="481" spans="1:28">
      <c r="A481" t="s">
        <v>46</v>
      </c>
      <c r="B481" s="2">
        <v>45078</v>
      </c>
      <c r="C481" s="2">
        <v>45047</v>
      </c>
      <c r="D481" s="2">
        <v>45162</v>
      </c>
      <c r="E481">
        <v>63924894</v>
      </c>
      <c r="F481">
        <v>63757554</v>
      </c>
      <c r="G481">
        <v>-167340</v>
      </c>
      <c r="H481">
        <v>91.19</v>
      </c>
      <c r="I481">
        <v>1360000</v>
      </c>
      <c r="J481" t="s">
        <v>29</v>
      </c>
      <c r="K481">
        <v>58.34</v>
      </c>
      <c r="L481">
        <v>59.7</v>
      </c>
      <c r="M481">
        <v>22743075</v>
      </c>
      <c r="N481">
        <v>22717238</v>
      </c>
      <c r="O481">
        <v>155</v>
      </c>
      <c r="P481">
        <v>155</v>
      </c>
      <c r="Q481">
        <v>9990444</v>
      </c>
      <c r="R481">
        <v>9857476</v>
      </c>
      <c r="S481">
        <v>5928371</v>
      </c>
      <c r="T481">
        <v>5843850</v>
      </c>
      <c r="U481">
        <v>0</v>
      </c>
      <c r="V481">
        <v>0</v>
      </c>
      <c r="W481">
        <v>0</v>
      </c>
      <c r="X481">
        <v>0</v>
      </c>
      <c r="Y481">
        <v>25262849</v>
      </c>
      <c r="Z481">
        <v>25338835</v>
      </c>
      <c r="AA481">
        <f t="shared" si="15"/>
        <v>-132968</v>
      </c>
      <c r="AB481">
        <f t="shared" si="14"/>
        <v>-1.3309518575951178</v>
      </c>
    </row>
    <row r="482" spans="1:28">
      <c r="A482" t="s">
        <v>47</v>
      </c>
      <c r="B482" s="2">
        <v>45078</v>
      </c>
      <c r="C482" s="2">
        <v>45047</v>
      </c>
      <c r="D482" s="2">
        <v>45162</v>
      </c>
      <c r="E482">
        <v>77914284</v>
      </c>
      <c r="F482">
        <v>76746043</v>
      </c>
      <c r="G482">
        <v>-1168241</v>
      </c>
      <c r="H482">
        <v>93.84</v>
      </c>
      <c r="I482">
        <v>260000</v>
      </c>
      <c r="J482" t="s">
        <v>29</v>
      </c>
      <c r="K482">
        <v>56.55</v>
      </c>
      <c r="L482">
        <v>56.81</v>
      </c>
      <c r="M482">
        <v>27901544</v>
      </c>
      <c r="N482">
        <v>28043824</v>
      </c>
      <c r="O482">
        <v>262</v>
      </c>
      <c r="P482">
        <v>262</v>
      </c>
      <c r="Q482">
        <v>16340816</v>
      </c>
      <c r="R482">
        <v>16299143</v>
      </c>
      <c r="S482">
        <v>9190220</v>
      </c>
      <c r="T482">
        <v>7739963</v>
      </c>
      <c r="U482">
        <v>127804</v>
      </c>
      <c r="V482">
        <v>143634</v>
      </c>
      <c r="W482">
        <v>0</v>
      </c>
      <c r="X482">
        <v>0</v>
      </c>
      <c r="Y482">
        <v>24353638</v>
      </c>
      <c r="Z482">
        <v>24519217</v>
      </c>
      <c r="AA482">
        <f t="shared" si="15"/>
        <v>-41673</v>
      </c>
      <c r="AB482">
        <f t="shared" si="14"/>
        <v>-0.2550239841143796</v>
      </c>
    </row>
    <row r="483" spans="1:28">
      <c r="A483" t="s">
        <v>48</v>
      </c>
      <c r="B483" s="2">
        <v>45078</v>
      </c>
      <c r="C483" s="2">
        <v>45047</v>
      </c>
      <c r="D483" s="2">
        <v>45162</v>
      </c>
      <c r="E483">
        <v>99532824</v>
      </c>
      <c r="F483">
        <v>100166493</v>
      </c>
      <c r="G483">
        <v>633669</v>
      </c>
      <c r="H483">
        <v>92.57</v>
      </c>
      <c r="I483">
        <v>2060000</v>
      </c>
      <c r="J483" t="s">
        <v>29</v>
      </c>
      <c r="K483">
        <v>73.209999999999994</v>
      </c>
      <c r="L483">
        <v>75.27</v>
      </c>
      <c r="M483">
        <v>36629543</v>
      </c>
      <c r="N483">
        <v>36841650</v>
      </c>
      <c r="O483">
        <v>0</v>
      </c>
      <c r="P483">
        <v>0</v>
      </c>
      <c r="Q483">
        <v>18298890</v>
      </c>
      <c r="R483">
        <v>18336134</v>
      </c>
      <c r="S483">
        <v>8695592</v>
      </c>
      <c r="T483">
        <v>8735044</v>
      </c>
      <c r="U483">
        <v>0</v>
      </c>
      <c r="V483">
        <v>0</v>
      </c>
      <c r="W483">
        <v>0</v>
      </c>
      <c r="X483">
        <v>0</v>
      </c>
      <c r="Y483">
        <v>35908799</v>
      </c>
      <c r="Z483">
        <v>36253665</v>
      </c>
      <c r="AA483">
        <f t="shared" si="15"/>
        <v>37244</v>
      </c>
      <c r="AB483">
        <f t="shared" si="14"/>
        <v>0.20353147103458188</v>
      </c>
    </row>
    <row r="484" spans="1:28">
      <c r="A484" t="s">
        <v>49</v>
      </c>
      <c r="B484" s="2">
        <v>45078</v>
      </c>
      <c r="C484" s="2">
        <v>45047</v>
      </c>
      <c r="D484" s="2">
        <v>45162</v>
      </c>
      <c r="E484">
        <v>62366651</v>
      </c>
      <c r="F484">
        <v>62354744</v>
      </c>
      <c r="G484">
        <v>-11907</v>
      </c>
      <c r="H484">
        <v>92.03</v>
      </c>
      <c r="I484">
        <v>1530000</v>
      </c>
      <c r="J484" t="s">
        <v>29</v>
      </c>
      <c r="K484">
        <v>56.93</v>
      </c>
      <c r="L484">
        <v>58.46</v>
      </c>
      <c r="M484">
        <v>18327556</v>
      </c>
      <c r="N484">
        <v>18316748</v>
      </c>
      <c r="O484">
        <v>8</v>
      </c>
      <c r="P484">
        <v>8</v>
      </c>
      <c r="Q484">
        <v>16182069</v>
      </c>
      <c r="R484">
        <v>16118017</v>
      </c>
      <c r="S484">
        <v>5311274</v>
      </c>
      <c r="T484">
        <v>5309788</v>
      </c>
      <c r="U484">
        <v>0</v>
      </c>
      <c r="V484">
        <v>0</v>
      </c>
      <c r="W484">
        <v>0</v>
      </c>
      <c r="X484">
        <v>0</v>
      </c>
      <c r="Y484">
        <v>22545744</v>
      </c>
      <c r="Z484">
        <v>22610183</v>
      </c>
      <c r="AA484">
        <f t="shared" si="15"/>
        <v>-64052</v>
      </c>
      <c r="AB484">
        <f t="shared" si="14"/>
        <v>-0.39582083106925331</v>
      </c>
    </row>
    <row r="485" spans="1:28">
      <c r="A485" t="s">
        <v>50</v>
      </c>
      <c r="B485" s="2">
        <v>45078</v>
      </c>
      <c r="C485" s="2">
        <v>45047</v>
      </c>
      <c r="D485" s="2">
        <v>45162</v>
      </c>
      <c r="E485">
        <v>56466660</v>
      </c>
      <c r="F485">
        <v>56525199</v>
      </c>
      <c r="G485">
        <v>58539</v>
      </c>
      <c r="H485">
        <v>90.83</v>
      </c>
      <c r="I485">
        <v>660000</v>
      </c>
      <c r="J485" t="s">
        <v>29</v>
      </c>
      <c r="K485">
        <v>46.11</v>
      </c>
      <c r="L485">
        <v>46.77</v>
      </c>
      <c r="M485">
        <v>17020114</v>
      </c>
      <c r="N485">
        <v>17132063</v>
      </c>
      <c r="O485">
        <v>147</v>
      </c>
      <c r="P485">
        <v>147</v>
      </c>
      <c r="Q485">
        <v>14029454</v>
      </c>
      <c r="R485">
        <v>13983917</v>
      </c>
      <c r="S485">
        <v>2497494</v>
      </c>
      <c r="T485">
        <v>2499081</v>
      </c>
      <c r="U485">
        <v>0</v>
      </c>
      <c r="V485">
        <v>0</v>
      </c>
      <c r="W485">
        <v>0</v>
      </c>
      <c r="X485">
        <v>0</v>
      </c>
      <c r="Y485">
        <v>22919451</v>
      </c>
      <c r="Z485">
        <v>22909991</v>
      </c>
      <c r="AA485">
        <f t="shared" si="15"/>
        <v>-45537</v>
      </c>
      <c r="AB485">
        <f t="shared" si="14"/>
        <v>-0.32458141279054764</v>
      </c>
    </row>
    <row r="486" spans="1:28">
      <c r="A486" t="s">
        <v>28</v>
      </c>
      <c r="B486" s="2">
        <v>45108</v>
      </c>
      <c r="C486" s="2">
        <v>45078</v>
      </c>
      <c r="D486" s="2">
        <v>45196</v>
      </c>
      <c r="E486">
        <v>82342264</v>
      </c>
      <c r="F486">
        <v>82044220</v>
      </c>
      <c r="G486">
        <v>-298044</v>
      </c>
      <c r="H486">
        <v>94.99</v>
      </c>
      <c r="I486">
        <v>570000</v>
      </c>
      <c r="J486" t="s">
        <v>29</v>
      </c>
      <c r="K486">
        <v>59.87</v>
      </c>
      <c r="L486">
        <v>60.44</v>
      </c>
      <c r="M486">
        <v>32770911</v>
      </c>
      <c r="N486">
        <v>32931652</v>
      </c>
      <c r="O486">
        <v>0</v>
      </c>
      <c r="P486">
        <v>0</v>
      </c>
      <c r="Q486">
        <v>11363635</v>
      </c>
      <c r="R486">
        <v>11287873</v>
      </c>
      <c r="S486">
        <v>7557631</v>
      </c>
      <c r="T486">
        <v>6928520</v>
      </c>
      <c r="U486">
        <v>0</v>
      </c>
      <c r="V486">
        <v>0</v>
      </c>
      <c r="W486">
        <v>0</v>
      </c>
      <c r="X486">
        <v>0</v>
      </c>
      <c r="Y486">
        <v>30650087</v>
      </c>
      <c r="Z486">
        <v>30896175</v>
      </c>
      <c r="AA486">
        <f t="shared" si="15"/>
        <v>-75762</v>
      </c>
      <c r="AB486">
        <f t="shared" si="14"/>
        <v>-0.66670568000468167</v>
      </c>
    </row>
    <row r="487" spans="1:28">
      <c r="A487" t="s">
        <v>30</v>
      </c>
      <c r="B487" s="2">
        <v>45108</v>
      </c>
      <c r="C487" s="2">
        <v>45078</v>
      </c>
      <c r="D487" s="2">
        <v>45196</v>
      </c>
      <c r="E487">
        <v>25197493</v>
      </c>
      <c r="F487">
        <v>25267542</v>
      </c>
      <c r="G487">
        <v>70049</v>
      </c>
      <c r="H487">
        <v>94.64</v>
      </c>
      <c r="I487">
        <v>90000</v>
      </c>
      <c r="J487" t="s">
        <v>29</v>
      </c>
      <c r="K487">
        <v>6.04</v>
      </c>
      <c r="L487">
        <v>6.13</v>
      </c>
      <c r="M487">
        <v>11150514</v>
      </c>
      <c r="N487">
        <v>11189259</v>
      </c>
      <c r="O487">
        <v>0</v>
      </c>
      <c r="P487">
        <v>0</v>
      </c>
      <c r="Q487">
        <v>1912053</v>
      </c>
      <c r="R487">
        <v>1862647</v>
      </c>
      <c r="S487">
        <v>3193282</v>
      </c>
      <c r="T487">
        <v>3195263</v>
      </c>
      <c r="U487">
        <v>0</v>
      </c>
      <c r="V487">
        <v>0</v>
      </c>
      <c r="W487">
        <v>0</v>
      </c>
      <c r="X487">
        <v>0</v>
      </c>
      <c r="Y487">
        <v>8941644</v>
      </c>
      <c r="Z487">
        <v>9020373</v>
      </c>
      <c r="AA487">
        <f t="shared" si="15"/>
        <v>-49406</v>
      </c>
      <c r="AB487">
        <f t="shared" si="14"/>
        <v>-2.583924190385936</v>
      </c>
    </row>
    <row r="488" spans="1:28">
      <c r="A488" t="s">
        <v>31</v>
      </c>
      <c r="B488" s="2">
        <v>45108</v>
      </c>
      <c r="C488" s="2">
        <v>45078</v>
      </c>
      <c r="D488" s="2">
        <v>45196</v>
      </c>
      <c r="E488">
        <v>92456756</v>
      </c>
      <c r="F488">
        <v>92838640</v>
      </c>
      <c r="G488">
        <v>381884</v>
      </c>
      <c r="H488">
        <v>89.11</v>
      </c>
      <c r="I488">
        <v>810000</v>
      </c>
      <c r="J488" t="s">
        <v>29</v>
      </c>
      <c r="K488">
        <v>45.52</v>
      </c>
      <c r="L488">
        <v>46.33</v>
      </c>
      <c r="M488">
        <v>40594914</v>
      </c>
      <c r="N488">
        <v>40707005</v>
      </c>
      <c r="O488">
        <v>0</v>
      </c>
      <c r="P488">
        <v>0</v>
      </c>
      <c r="Q488">
        <v>8058206</v>
      </c>
      <c r="R488">
        <v>8007508</v>
      </c>
      <c r="S488">
        <v>5862287</v>
      </c>
      <c r="T488">
        <v>5797509</v>
      </c>
      <c r="U488">
        <v>0</v>
      </c>
      <c r="V488">
        <v>0</v>
      </c>
      <c r="W488">
        <v>0</v>
      </c>
      <c r="X488">
        <v>0</v>
      </c>
      <c r="Y488">
        <v>37941349</v>
      </c>
      <c r="Z488">
        <v>38326618</v>
      </c>
      <c r="AA488">
        <f t="shared" si="15"/>
        <v>-50698</v>
      </c>
      <c r="AB488">
        <f t="shared" si="14"/>
        <v>-0.62914748022078371</v>
      </c>
    </row>
    <row r="489" spans="1:28">
      <c r="A489" t="s">
        <v>32</v>
      </c>
      <c r="B489" s="2">
        <v>45108</v>
      </c>
      <c r="C489" s="2">
        <v>45078</v>
      </c>
      <c r="D489" s="2">
        <v>45196</v>
      </c>
      <c r="E489">
        <v>54411573</v>
      </c>
      <c r="F489">
        <v>54533863</v>
      </c>
      <c r="G489">
        <v>122290</v>
      </c>
      <c r="H489">
        <v>61.22</v>
      </c>
      <c r="I489">
        <v>550000</v>
      </c>
      <c r="J489" t="s">
        <v>29</v>
      </c>
      <c r="K489">
        <v>40.99</v>
      </c>
      <c r="L489">
        <v>41.54</v>
      </c>
      <c r="M489">
        <v>17231813</v>
      </c>
      <c r="N489">
        <v>17304431</v>
      </c>
      <c r="O489">
        <v>23</v>
      </c>
      <c r="P489">
        <v>23</v>
      </c>
      <c r="Q489">
        <v>16347957</v>
      </c>
      <c r="R489">
        <v>16299330</v>
      </c>
      <c r="S489">
        <v>0</v>
      </c>
      <c r="T489">
        <v>0</v>
      </c>
      <c r="U489">
        <v>0</v>
      </c>
      <c r="V489">
        <v>0</v>
      </c>
      <c r="W489">
        <v>1688927</v>
      </c>
      <c r="X489">
        <v>1688464</v>
      </c>
      <c r="Y489">
        <v>19142853</v>
      </c>
      <c r="Z489">
        <v>19241615</v>
      </c>
      <c r="AA489">
        <f t="shared" si="15"/>
        <v>-48627</v>
      </c>
      <c r="AB489">
        <f t="shared" si="14"/>
        <v>-0.29745001164365675</v>
      </c>
    </row>
    <row r="490" spans="1:28">
      <c r="A490" t="s">
        <v>33</v>
      </c>
      <c r="B490" s="2">
        <v>45108</v>
      </c>
      <c r="C490" s="2">
        <v>45078</v>
      </c>
      <c r="D490" s="2">
        <v>45196</v>
      </c>
      <c r="E490">
        <v>66155327</v>
      </c>
      <c r="F490">
        <v>66205008</v>
      </c>
      <c r="G490">
        <v>49681</v>
      </c>
      <c r="H490">
        <v>92.59</v>
      </c>
      <c r="I490">
        <v>830000</v>
      </c>
      <c r="J490" t="s">
        <v>29</v>
      </c>
      <c r="K490">
        <v>58.05</v>
      </c>
      <c r="L490">
        <v>58.88</v>
      </c>
      <c r="M490">
        <v>11410888</v>
      </c>
      <c r="N490">
        <v>11465865</v>
      </c>
      <c r="O490">
        <v>47</v>
      </c>
      <c r="P490">
        <v>47</v>
      </c>
      <c r="Q490">
        <v>21823572</v>
      </c>
      <c r="R490">
        <v>21731576</v>
      </c>
      <c r="S490">
        <v>5048755</v>
      </c>
      <c r="T490">
        <v>4975672</v>
      </c>
      <c r="U490">
        <v>0</v>
      </c>
      <c r="V490">
        <v>0</v>
      </c>
      <c r="W490">
        <v>0</v>
      </c>
      <c r="X490">
        <v>0</v>
      </c>
      <c r="Y490">
        <v>27872065</v>
      </c>
      <c r="Z490">
        <v>28031848</v>
      </c>
      <c r="AA490">
        <f t="shared" si="15"/>
        <v>-91996</v>
      </c>
      <c r="AB490">
        <f t="shared" si="14"/>
        <v>-0.42154419084098604</v>
      </c>
    </row>
    <row r="491" spans="1:28">
      <c r="A491" t="s">
        <v>34</v>
      </c>
      <c r="B491" s="2">
        <v>45108</v>
      </c>
      <c r="C491" s="2">
        <v>45078</v>
      </c>
      <c r="D491" s="2">
        <v>45196</v>
      </c>
      <c r="E491">
        <v>26483147</v>
      </c>
      <c r="F491">
        <v>26533002</v>
      </c>
      <c r="G491">
        <v>49855</v>
      </c>
      <c r="H491">
        <v>90.78</v>
      </c>
      <c r="I491">
        <v>340000</v>
      </c>
      <c r="J491" t="s">
        <v>29</v>
      </c>
      <c r="K491">
        <v>27.38</v>
      </c>
      <c r="L491">
        <v>27.72</v>
      </c>
      <c r="M491">
        <v>6563357</v>
      </c>
      <c r="N491">
        <v>6642572</v>
      </c>
      <c r="O491">
        <v>11</v>
      </c>
      <c r="P491">
        <v>11</v>
      </c>
      <c r="Q491">
        <v>7235095</v>
      </c>
      <c r="R491">
        <v>7142447</v>
      </c>
      <c r="S491">
        <v>4465526</v>
      </c>
      <c r="T491">
        <v>4418182</v>
      </c>
      <c r="U491">
        <v>0</v>
      </c>
      <c r="V491">
        <v>0</v>
      </c>
      <c r="W491">
        <v>0</v>
      </c>
      <c r="X491">
        <v>0</v>
      </c>
      <c r="Y491">
        <v>8219158</v>
      </c>
      <c r="Z491">
        <v>8329790</v>
      </c>
      <c r="AA491">
        <f t="shared" si="15"/>
        <v>-92648</v>
      </c>
      <c r="AB491">
        <f t="shared" si="14"/>
        <v>-1.2805360537767645</v>
      </c>
    </row>
    <row r="492" spans="1:28">
      <c r="A492" t="s">
        <v>35</v>
      </c>
      <c r="B492" s="2">
        <v>45108</v>
      </c>
      <c r="C492" s="2">
        <v>45078</v>
      </c>
      <c r="D492" s="2">
        <v>45196</v>
      </c>
      <c r="E492">
        <v>8793329</v>
      </c>
      <c r="F492">
        <v>8844144</v>
      </c>
      <c r="G492">
        <v>50815</v>
      </c>
      <c r="H492">
        <v>115.93</v>
      </c>
      <c r="I492">
        <v>50000</v>
      </c>
      <c r="J492" t="s">
        <v>29</v>
      </c>
      <c r="K492">
        <v>3.73</v>
      </c>
      <c r="L492">
        <v>3.78</v>
      </c>
      <c r="M492">
        <v>3439537</v>
      </c>
      <c r="N492">
        <v>3478313</v>
      </c>
      <c r="O492">
        <v>92</v>
      </c>
      <c r="P492">
        <v>92</v>
      </c>
      <c r="Q492">
        <v>433472</v>
      </c>
      <c r="R492">
        <v>425849</v>
      </c>
      <c r="S492">
        <v>1610092</v>
      </c>
      <c r="T492">
        <v>1614681</v>
      </c>
      <c r="U492">
        <v>0</v>
      </c>
      <c r="V492">
        <v>0</v>
      </c>
      <c r="W492">
        <v>0</v>
      </c>
      <c r="X492">
        <v>0</v>
      </c>
      <c r="Y492">
        <v>3310136</v>
      </c>
      <c r="Z492">
        <v>3325209</v>
      </c>
      <c r="AA492">
        <f t="shared" si="15"/>
        <v>-7623</v>
      </c>
      <c r="AB492">
        <f t="shared" si="14"/>
        <v>-1.7585910970028054</v>
      </c>
    </row>
    <row r="493" spans="1:28">
      <c r="A493" t="s">
        <v>36</v>
      </c>
      <c r="B493" s="2">
        <v>45108</v>
      </c>
      <c r="C493" s="2">
        <v>45078</v>
      </c>
      <c r="D493" s="2">
        <v>45196</v>
      </c>
      <c r="E493">
        <v>12220222</v>
      </c>
      <c r="F493">
        <v>12337006</v>
      </c>
      <c r="G493">
        <v>116784</v>
      </c>
      <c r="H493">
        <v>87.7</v>
      </c>
      <c r="I493">
        <v>40000</v>
      </c>
      <c r="J493" t="s">
        <v>29</v>
      </c>
      <c r="K493">
        <v>2.0099999999999998</v>
      </c>
      <c r="L493">
        <v>2.0499999999999998</v>
      </c>
      <c r="M493">
        <v>5917428</v>
      </c>
      <c r="N493">
        <v>5958993</v>
      </c>
      <c r="O493">
        <v>0</v>
      </c>
      <c r="P493">
        <v>0</v>
      </c>
      <c r="Q493">
        <v>322864</v>
      </c>
      <c r="R493">
        <v>315687</v>
      </c>
      <c r="S493">
        <v>831303</v>
      </c>
      <c r="T493">
        <v>836454</v>
      </c>
      <c r="U493">
        <v>0</v>
      </c>
      <c r="V493">
        <v>0</v>
      </c>
      <c r="W493">
        <v>0</v>
      </c>
      <c r="X493">
        <v>0</v>
      </c>
      <c r="Y493">
        <v>5148627</v>
      </c>
      <c r="Z493">
        <v>5225872</v>
      </c>
      <c r="AA493">
        <f t="shared" si="15"/>
        <v>-7177</v>
      </c>
      <c r="AB493">
        <f t="shared" si="14"/>
        <v>-2.2229173893651817</v>
      </c>
    </row>
    <row r="494" spans="1:28">
      <c r="A494" t="s">
        <v>37</v>
      </c>
      <c r="B494" s="2">
        <v>45108</v>
      </c>
      <c r="C494" s="2">
        <v>45078</v>
      </c>
      <c r="D494" s="2">
        <v>45196</v>
      </c>
      <c r="E494">
        <v>65849789</v>
      </c>
      <c r="F494">
        <v>66156756</v>
      </c>
      <c r="G494">
        <v>306967</v>
      </c>
      <c r="H494">
        <v>86.85</v>
      </c>
      <c r="I494">
        <v>600000</v>
      </c>
      <c r="J494" t="s">
        <v>29</v>
      </c>
      <c r="K494">
        <v>61.57</v>
      </c>
      <c r="L494">
        <v>62.17</v>
      </c>
      <c r="M494">
        <v>31577632</v>
      </c>
      <c r="N494">
        <v>31873862</v>
      </c>
      <c r="O494">
        <v>589</v>
      </c>
      <c r="P494">
        <v>589</v>
      </c>
      <c r="Q494">
        <v>6676091</v>
      </c>
      <c r="R494">
        <v>6645326</v>
      </c>
      <c r="S494">
        <v>5414427</v>
      </c>
      <c r="T494">
        <v>5193266</v>
      </c>
      <c r="U494">
        <v>0</v>
      </c>
      <c r="V494">
        <v>0</v>
      </c>
      <c r="W494">
        <v>0</v>
      </c>
      <c r="X494">
        <v>0</v>
      </c>
      <c r="Y494">
        <v>22181050</v>
      </c>
      <c r="Z494">
        <v>22443713</v>
      </c>
      <c r="AA494">
        <f t="shared" si="15"/>
        <v>-30765</v>
      </c>
      <c r="AB494">
        <f t="shared" si="14"/>
        <v>-0.46082355677895942</v>
      </c>
    </row>
    <row r="495" spans="1:28">
      <c r="A495" t="s">
        <v>38</v>
      </c>
      <c r="B495" s="2">
        <v>45108</v>
      </c>
      <c r="C495" s="2">
        <v>45078</v>
      </c>
      <c r="D495" s="2">
        <v>45196</v>
      </c>
      <c r="E495">
        <v>42290688</v>
      </c>
      <c r="F495">
        <v>42399194</v>
      </c>
      <c r="G495">
        <v>108506</v>
      </c>
      <c r="H495">
        <v>93.92</v>
      </c>
      <c r="I495">
        <v>220000</v>
      </c>
      <c r="J495" t="s">
        <v>29</v>
      </c>
      <c r="K495">
        <v>21.41</v>
      </c>
      <c r="L495">
        <v>21.63</v>
      </c>
      <c r="M495">
        <v>8092740</v>
      </c>
      <c r="N495">
        <v>8157958</v>
      </c>
      <c r="O495">
        <v>113</v>
      </c>
      <c r="P495">
        <v>113</v>
      </c>
      <c r="Q495">
        <v>14203668</v>
      </c>
      <c r="R495">
        <v>14150214</v>
      </c>
      <c r="S495">
        <v>9729281</v>
      </c>
      <c r="T495">
        <v>9737842</v>
      </c>
      <c r="U495">
        <v>0</v>
      </c>
      <c r="V495">
        <v>0</v>
      </c>
      <c r="W495">
        <v>0</v>
      </c>
      <c r="X495">
        <v>0</v>
      </c>
      <c r="Y495">
        <v>10264886</v>
      </c>
      <c r="Z495">
        <v>10353067</v>
      </c>
      <c r="AA495">
        <f t="shared" si="15"/>
        <v>-53454</v>
      </c>
      <c r="AB495">
        <f t="shared" si="14"/>
        <v>-0.37633940753895401</v>
      </c>
    </row>
    <row r="496" spans="1:28">
      <c r="A496" t="s">
        <v>39</v>
      </c>
      <c r="B496" s="2">
        <v>45108</v>
      </c>
      <c r="C496" s="2">
        <v>45078</v>
      </c>
      <c r="D496" s="2">
        <v>45196</v>
      </c>
      <c r="E496">
        <v>23940454</v>
      </c>
      <c r="F496">
        <v>23900718</v>
      </c>
      <c r="G496">
        <v>-39736</v>
      </c>
      <c r="H496">
        <v>90.54</v>
      </c>
      <c r="I496">
        <v>170000</v>
      </c>
      <c r="J496" t="s">
        <v>29</v>
      </c>
      <c r="K496">
        <v>16.350000000000001</v>
      </c>
      <c r="L496">
        <v>16.52</v>
      </c>
      <c r="M496">
        <v>5651788</v>
      </c>
      <c r="N496">
        <v>5642971</v>
      </c>
      <c r="O496">
        <v>0</v>
      </c>
      <c r="P496">
        <v>0</v>
      </c>
      <c r="Q496">
        <v>5638643</v>
      </c>
      <c r="R496">
        <v>5590247</v>
      </c>
      <c r="S496">
        <v>2188790</v>
      </c>
      <c r="T496">
        <v>2180802</v>
      </c>
      <c r="U496">
        <v>0</v>
      </c>
      <c r="V496">
        <v>0</v>
      </c>
      <c r="W496">
        <v>0</v>
      </c>
      <c r="X496">
        <v>0</v>
      </c>
      <c r="Y496">
        <v>10461233</v>
      </c>
      <c r="Z496">
        <v>10486698</v>
      </c>
      <c r="AA496">
        <f t="shared" si="15"/>
        <v>-48396</v>
      </c>
      <c r="AB496">
        <f t="shared" si="14"/>
        <v>-0.85829161378012409</v>
      </c>
    </row>
    <row r="497" spans="1:28">
      <c r="A497" t="s">
        <v>40</v>
      </c>
      <c r="B497" s="2">
        <v>45108</v>
      </c>
      <c r="C497" s="2">
        <v>45078</v>
      </c>
      <c r="D497" s="2">
        <v>45196</v>
      </c>
      <c r="E497">
        <v>77127494</v>
      </c>
      <c r="F497">
        <v>77385362</v>
      </c>
      <c r="G497">
        <v>257868</v>
      </c>
      <c r="H497">
        <v>86.45</v>
      </c>
      <c r="I497">
        <v>1070000</v>
      </c>
      <c r="J497" t="s">
        <v>29</v>
      </c>
      <c r="K497">
        <v>64.989999999999995</v>
      </c>
      <c r="L497">
        <v>66.06</v>
      </c>
      <c r="M497">
        <v>15482919</v>
      </c>
      <c r="N497">
        <v>15585706</v>
      </c>
      <c r="O497">
        <v>0</v>
      </c>
      <c r="P497">
        <v>0</v>
      </c>
      <c r="Q497">
        <v>16809837</v>
      </c>
      <c r="R497">
        <v>16615675</v>
      </c>
      <c r="S497">
        <v>5172636</v>
      </c>
      <c r="T497">
        <v>5126550</v>
      </c>
      <c r="U497">
        <v>0</v>
      </c>
      <c r="V497">
        <v>0</v>
      </c>
      <c r="W497">
        <v>0</v>
      </c>
      <c r="X497">
        <v>0</v>
      </c>
      <c r="Y497">
        <v>39662102</v>
      </c>
      <c r="Z497">
        <v>40057431</v>
      </c>
      <c r="AA497">
        <f t="shared" si="15"/>
        <v>-194162</v>
      </c>
      <c r="AB497">
        <f t="shared" si="14"/>
        <v>-1.1550498675269725</v>
      </c>
    </row>
    <row r="498" spans="1:28">
      <c r="A498" t="s">
        <v>41</v>
      </c>
      <c r="B498" s="2">
        <v>45108</v>
      </c>
      <c r="C498" s="2">
        <v>45078</v>
      </c>
      <c r="D498" s="2">
        <v>45196</v>
      </c>
      <c r="E498">
        <v>92003849</v>
      </c>
      <c r="F498">
        <v>92586366</v>
      </c>
      <c r="G498">
        <v>582517</v>
      </c>
      <c r="H498">
        <v>93.21</v>
      </c>
      <c r="I498">
        <v>950000</v>
      </c>
      <c r="J498" t="s">
        <v>29</v>
      </c>
      <c r="K498">
        <v>70.27</v>
      </c>
      <c r="L498">
        <v>71.22</v>
      </c>
      <c r="M498">
        <v>21213764</v>
      </c>
      <c r="N498">
        <v>21281406</v>
      </c>
      <c r="O498">
        <v>0</v>
      </c>
      <c r="P498">
        <v>0</v>
      </c>
      <c r="Q498">
        <v>23683451</v>
      </c>
      <c r="R498">
        <v>23547709</v>
      </c>
      <c r="S498">
        <v>6205219</v>
      </c>
      <c r="T498">
        <v>6227022</v>
      </c>
      <c r="U498">
        <v>0</v>
      </c>
      <c r="V498">
        <v>0</v>
      </c>
      <c r="W498">
        <v>0</v>
      </c>
      <c r="X498">
        <v>0</v>
      </c>
      <c r="Y498">
        <v>40901415</v>
      </c>
      <c r="Z498">
        <v>41530229</v>
      </c>
      <c r="AA498">
        <f t="shared" si="15"/>
        <v>-135742</v>
      </c>
      <c r="AB498">
        <f t="shared" si="14"/>
        <v>-0.57315126921325776</v>
      </c>
    </row>
    <row r="499" spans="1:28">
      <c r="A499" t="s">
        <v>42</v>
      </c>
      <c r="B499" s="2">
        <v>45108</v>
      </c>
      <c r="C499" s="2">
        <v>45078</v>
      </c>
      <c r="D499" s="2">
        <v>45196</v>
      </c>
      <c r="E499">
        <v>33793498</v>
      </c>
      <c r="F499">
        <v>33838883</v>
      </c>
      <c r="G499">
        <v>45385</v>
      </c>
      <c r="H499">
        <v>70.33</v>
      </c>
      <c r="I499">
        <v>230000</v>
      </c>
      <c r="J499" t="s">
        <v>29</v>
      </c>
      <c r="K499">
        <v>30.74</v>
      </c>
      <c r="L499">
        <v>30.97</v>
      </c>
      <c r="M499">
        <v>9931749</v>
      </c>
      <c r="N499">
        <v>9986070</v>
      </c>
      <c r="O499">
        <v>925</v>
      </c>
      <c r="P499">
        <v>925</v>
      </c>
      <c r="Q499">
        <v>11132998</v>
      </c>
      <c r="R499">
        <v>11140887</v>
      </c>
      <c r="S499">
        <v>0</v>
      </c>
      <c r="T499">
        <v>0</v>
      </c>
      <c r="U499">
        <v>0</v>
      </c>
      <c r="V499">
        <v>0</v>
      </c>
      <c r="W499">
        <v>303065</v>
      </c>
      <c r="X499">
        <v>269895</v>
      </c>
      <c r="Y499">
        <v>12424761</v>
      </c>
      <c r="Z499">
        <v>12441106</v>
      </c>
      <c r="AA499">
        <f t="shared" si="15"/>
        <v>7889</v>
      </c>
      <c r="AB499">
        <f t="shared" si="14"/>
        <v>7.0861415765995819E-2</v>
      </c>
    </row>
    <row r="500" spans="1:28">
      <c r="A500" t="s">
        <v>43</v>
      </c>
      <c r="B500" s="2">
        <v>45108</v>
      </c>
      <c r="C500" s="2">
        <v>45078</v>
      </c>
      <c r="D500" s="2">
        <v>45196</v>
      </c>
      <c r="E500">
        <v>12297690</v>
      </c>
      <c r="F500">
        <v>12328216</v>
      </c>
      <c r="G500">
        <v>30526</v>
      </c>
      <c r="H500">
        <v>93.7</v>
      </c>
      <c r="I500">
        <v>20000</v>
      </c>
      <c r="J500" t="s">
        <v>29</v>
      </c>
      <c r="K500">
        <v>2</v>
      </c>
      <c r="L500">
        <v>2.02</v>
      </c>
      <c r="M500">
        <v>5991059</v>
      </c>
      <c r="N500">
        <v>6015633</v>
      </c>
      <c r="O500">
        <v>0</v>
      </c>
      <c r="P500">
        <v>0</v>
      </c>
      <c r="Q500">
        <v>921680</v>
      </c>
      <c r="R500">
        <v>907470</v>
      </c>
      <c r="S500">
        <v>1281663</v>
      </c>
      <c r="T500">
        <v>1275573</v>
      </c>
      <c r="U500">
        <v>0</v>
      </c>
      <c r="V500">
        <v>0</v>
      </c>
      <c r="W500">
        <v>0</v>
      </c>
      <c r="X500">
        <v>0</v>
      </c>
      <c r="Y500">
        <v>4103288</v>
      </c>
      <c r="Z500">
        <v>4129540</v>
      </c>
      <c r="AA500">
        <f t="shared" si="15"/>
        <v>-14210</v>
      </c>
      <c r="AB500">
        <f t="shared" si="14"/>
        <v>-1.5417498481034633</v>
      </c>
    </row>
    <row r="501" spans="1:28">
      <c r="A501" t="s">
        <v>44</v>
      </c>
      <c r="B501" s="2">
        <v>45108</v>
      </c>
      <c r="C501" s="2">
        <v>45078</v>
      </c>
      <c r="D501" s="2">
        <v>45196</v>
      </c>
      <c r="E501">
        <v>33411044</v>
      </c>
      <c r="F501">
        <v>33561993</v>
      </c>
      <c r="G501">
        <v>150949</v>
      </c>
      <c r="H501">
        <v>93.05</v>
      </c>
      <c r="I501">
        <v>160000</v>
      </c>
      <c r="J501" t="s">
        <v>29</v>
      </c>
      <c r="K501">
        <v>15.48</v>
      </c>
      <c r="L501">
        <v>15.64</v>
      </c>
      <c r="M501">
        <v>11385490</v>
      </c>
      <c r="N501">
        <v>11430324</v>
      </c>
      <c r="O501">
        <v>29</v>
      </c>
      <c r="P501">
        <v>29</v>
      </c>
      <c r="Q501">
        <v>1597870</v>
      </c>
      <c r="R501">
        <v>1567995</v>
      </c>
      <c r="S501">
        <v>6210662</v>
      </c>
      <c r="T501">
        <v>6204752</v>
      </c>
      <c r="U501">
        <v>0</v>
      </c>
      <c r="V501">
        <v>0</v>
      </c>
      <c r="W501">
        <v>0</v>
      </c>
      <c r="X501">
        <v>0</v>
      </c>
      <c r="Y501">
        <v>14216993</v>
      </c>
      <c r="Z501">
        <v>14358893</v>
      </c>
      <c r="AA501">
        <f t="shared" si="15"/>
        <v>-29875</v>
      </c>
      <c r="AB501">
        <f t="shared" si="14"/>
        <v>-1.8696765068497438</v>
      </c>
    </row>
    <row r="502" spans="1:28">
      <c r="A502" t="s">
        <v>45</v>
      </c>
      <c r="B502" s="2">
        <v>45108</v>
      </c>
      <c r="C502" s="2">
        <v>45078</v>
      </c>
      <c r="D502" s="2">
        <v>45196</v>
      </c>
      <c r="E502">
        <v>35253865</v>
      </c>
      <c r="F502">
        <v>35215381</v>
      </c>
      <c r="G502">
        <v>-38484</v>
      </c>
      <c r="H502">
        <v>94.26</v>
      </c>
      <c r="I502">
        <v>300000</v>
      </c>
      <c r="J502" t="s">
        <v>29</v>
      </c>
      <c r="K502">
        <v>29.57</v>
      </c>
      <c r="L502">
        <v>29.87</v>
      </c>
      <c r="M502">
        <v>12267328</v>
      </c>
      <c r="N502">
        <v>12303728</v>
      </c>
      <c r="O502">
        <v>106</v>
      </c>
      <c r="P502">
        <v>106</v>
      </c>
      <c r="Q502">
        <v>6900358</v>
      </c>
      <c r="R502">
        <v>6831994</v>
      </c>
      <c r="S502">
        <v>4577542</v>
      </c>
      <c r="T502">
        <v>4477029</v>
      </c>
      <c r="U502">
        <v>0</v>
      </c>
      <c r="V502">
        <v>0</v>
      </c>
      <c r="W502">
        <v>0</v>
      </c>
      <c r="X502">
        <v>0</v>
      </c>
      <c r="Y502">
        <v>11508531</v>
      </c>
      <c r="Z502">
        <v>11602524</v>
      </c>
      <c r="AA502">
        <f t="shared" si="15"/>
        <v>-68364</v>
      </c>
      <c r="AB502">
        <f t="shared" si="14"/>
        <v>-0.99073120554035032</v>
      </c>
    </row>
    <row r="503" spans="1:28">
      <c r="A503" t="s">
        <v>46</v>
      </c>
      <c r="B503" s="2">
        <v>45108</v>
      </c>
      <c r="C503" s="2">
        <v>45078</v>
      </c>
      <c r="D503" s="2">
        <v>45196</v>
      </c>
      <c r="E503">
        <v>63757554</v>
      </c>
      <c r="F503">
        <v>63821517</v>
      </c>
      <c r="G503">
        <v>63963</v>
      </c>
      <c r="H503">
        <v>90.58</v>
      </c>
      <c r="I503">
        <v>810000</v>
      </c>
      <c r="J503" t="s">
        <v>29</v>
      </c>
      <c r="K503">
        <v>59.7</v>
      </c>
      <c r="L503">
        <v>60.51</v>
      </c>
      <c r="M503">
        <v>22717238</v>
      </c>
      <c r="N503">
        <v>22822546</v>
      </c>
      <c r="O503">
        <v>155</v>
      </c>
      <c r="P503">
        <v>155</v>
      </c>
      <c r="Q503">
        <v>9857476</v>
      </c>
      <c r="R503">
        <v>9771036</v>
      </c>
      <c r="S503">
        <v>5843850</v>
      </c>
      <c r="T503">
        <v>5747614</v>
      </c>
      <c r="U503">
        <v>0</v>
      </c>
      <c r="V503">
        <v>0</v>
      </c>
      <c r="W503">
        <v>0</v>
      </c>
      <c r="X503">
        <v>0</v>
      </c>
      <c r="Y503">
        <v>25338835</v>
      </c>
      <c r="Z503">
        <v>25480166</v>
      </c>
      <c r="AA503">
        <f t="shared" si="15"/>
        <v>-86440</v>
      </c>
      <c r="AB503">
        <f t="shared" si="14"/>
        <v>-0.87689789962460984</v>
      </c>
    </row>
    <row r="504" spans="1:28">
      <c r="A504" t="s">
        <v>47</v>
      </c>
      <c r="B504" s="2">
        <v>45108</v>
      </c>
      <c r="C504" s="2">
        <v>45078</v>
      </c>
      <c r="D504" s="2">
        <v>45196</v>
      </c>
      <c r="E504">
        <v>76746043</v>
      </c>
      <c r="F504">
        <v>77011114</v>
      </c>
      <c r="G504">
        <v>265071</v>
      </c>
      <c r="H504">
        <v>93.9</v>
      </c>
      <c r="I504">
        <v>540000</v>
      </c>
      <c r="J504" t="s">
        <v>29</v>
      </c>
      <c r="K504">
        <v>56.81</v>
      </c>
      <c r="L504">
        <v>57.35</v>
      </c>
      <c r="M504">
        <v>28043824</v>
      </c>
      <c r="N504">
        <v>28250863</v>
      </c>
      <c r="O504">
        <v>262</v>
      </c>
      <c r="P504">
        <v>262</v>
      </c>
      <c r="Q504">
        <v>16299143</v>
      </c>
      <c r="R504">
        <v>16274350</v>
      </c>
      <c r="S504">
        <v>7739963</v>
      </c>
      <c r="T504">
        <v>7670899</v>
      </c>
      <c r="U504">
        <v>143634</v>
      </c>
      <c r="V504">
        <v>152444</v>
      </c>
      <c r="W504">
        <v>0</v>
      </c>
      <c r="X504">
        <v>0</v>
      </c>
      <c r="Y504">
        <v>24519217</v>
      </c>
      <c r="Z504">
        <v>24662296</v>
      </c>
      <c r="AA504">
        <f t="shared" si="15"/>
        <v>-24793</v>
      </c>
      <c r="AB504">
        <f t="shared" si="14"/>
        <v>-0.15211229203891272</v>
      </c>
    </row>
    <row r="505" spans="1:28">
      <c r="A505" t="s">
        <v>48</v>
      </c>
      <c r="B505" s="2">
        <v>45108</v>
      </c>
      <c r="C505" s="2">
        <v>45078</v>
      </c>
      <c r="D505" s="2">
        <v>45196</v>
      </c>
      <c r="E505">
        <v>100166493</v>
      </c>
      <c r="F505">
        <v>100238073</v>
      </c>
      <c r="G505">
        <v>71580</v>
      </c>
      <c r="H505">
        <v>90.13</v>
      </c>
      <c r="I505">
        <v>1540000</v>
      </c>
      <c r="J505" t="s">
        <v>29</v>
      </c>
      <c r="K505">
        <v>75.27</v>
      </c>
      <c r="L505">
        <v>76.81</v>
      </c>
      <c r="M505">
        <v>36841650</v>
      </c>
      <c r="N505">
        <v>36709961</v>
      </c>
      <c r="O505">
        <v>0</v>
      </c>
      <c r="P505">
        <v>0</v>
      </c>
      <c r="Q505">
        <v>18336134</v>
      </c>
      <c r="R505">
        <v>18227215</v>
      </c>
      <c r="S505">
        <v>8735044</v>
      </c>
      <c r="T505">
        <v>8654501</v>
      </c>
      <c r="U505">
        <v>0</v>
      </c>
      <c r="V505">
        <v>0</v>
      </c>
      <c r="W505">
        <v>0</v>
      </c>
      <c r="X505">
        <v>0</v>
      </c>
      <c r="Y505">
        <v>36253665</v>
      </c>
      <c r="Z505">
        <v>36646396</v>
      </c>
      <c r="AA505">
        <f t="shared" si="15"/>
        <v>-108919</v>
      </c>
      <c r="AB505">
        <f t="shared" si="14"/>
        <v>-0.5940128927940862</v>
      </c>
    </row>
    <row r="506" spans="1:28">
      <c r="A506" t="s">
        <v>49</v>
      </c>
      <c r="B506" s="2">
        <v>45108</v>
      </c>
      <c r="C506" s="2">
        <v>45078</v>
      </c>
      <c r="D506" s="2">
        <v>45196</v>
      </c>
      <c r="E506">
        <v>62354744</v>
      </c>
      <c r="F506">
        <v>62480431</v>
      </c>
      <c r="G506">
        <v>125687</v>
      </c>
      <c r="H506">
        <v>92.72</v>
      </c>
      <c r="I506">
        <v>1080000</v>
      </c>
      <c r="J506" t="s">
        <v>29</v>
      </c>
      <c r="K506">
        <v>58.46</v>
      </c>
      <c r="L506">
        <v>59.54</v>
      </c>
      <c r="M506">
        <v>18316748</v>
      </c>
      <c r="N506">
        <v>18309233</v>
      </c>
      <c r="O506">
        <v>8</v>
      </c>
      <c r="P506">
        <v>8</v>
      </c>
      <c r="Q506">
        <v>16118017</v>
      </c>
      <c r="R506">
        <v>16061802</v>
      </c>
      <c r="S506">
        <v>5309788</v>
      </c>
      <c r="T506">
        <v>5296930</v>
      </c>
      <c r="U506">
        <v>0</v>
      </c>
      <c r="V506">
        <v>0</v>
      </c>
      <c r="W506">
        <v>0</v>
      </c>
      <c r="X506">
        <v>0</v>
      </c>
      <c r="Y506">
        <v>22610183</v>
      </c>
      <c r="Z506">
        <v>22812458</v>
      </c>
      <c r="AA506">
        <f t="shared" si="15"/>
        <v>-56215</v>
      </c>
      <c r="AB506">
        <f t="shared" si="14"/>
        <v>-0.34877119189041678</v>
      </c>
    </row>
    <row r="507" spans="1:28">
      <c r="A507" t="s">
        <v>50</v>
      </c>
      <c r="B507" s="2">
        <v>45108</v>
      </c>
      <c r="C507" s="2">
        <v>45078</v>
      </c>
      <c r="D507" s="2">
        <v>45196</v>
      </c>
      <c r="E507">
        <v>56525199</v>
      </c>
      <c r="F507">
        <v>56718379</v>
      </c>
      <c r="G507">
        <v>193180</v>
      </c>
      <c r="H507">
        <v>92.43</v>
      </c>
      <c r="I507">
        <v>830000</v>
      </c>
      <c r="J507" t="s">
        <v>29</v>
      </c>
      <c r="K507">
        <v>46.77</v>
      </c>
      <c r="L507">
        <v>47.6</v>
      </c>
      <c r="M507">
        <v>17132063</v>
      </c>
      <c r="N507">
        <v>17194260</v>
      </c>
      <c r="O507">
        <v>147</v>
      </c>
      <c r="P507">
        <v>147</v>
      </c>
      <c r="Q507">
        <v>13983917</v>
      </c>
      <c r="R507">
        <v>13929542</v>
      </c>
      <c r="S507">
        <v>2499081</v>
      </c>
      <c r="T507">
        <v>2507058</v>
      </c>
      <c r="U507">
        <v>0</v>
      </c>
      <c r="V507">
        <v>0</v>
      </c>
      <c r="W507">
        <v>0</v>
      </c>
      <c r="X507">
        <v>0</v>
      </c>
      <c r="Y507">
        <v>22909991</v>
      </c>
      <c r="Z507">
        <v>23087372</v>
      </c>
      <c r="AA507">
        <f t="shared" si="15"/>
        <v>-54375</v>
      </c>
      <c r="AB507">
        <f t="shared" si="14"/>
        <v>-0.38883955046357899</v>
      </c>
    </row>
    <row r="508" spans="1:28">
      <c r="A508" t="s">
        <v>28</v>
      </c>
      <c r="B508" s="2">
        <v>45139</v>
      </c>
      <c r="C508" s="2">
        <v>45108</v>
      </c>
      <c r="D508" s="2">
        <v>45246</v>
      </c>
      <c r="E508">
        <v>82044220</v>
      </c>
      <c r="F508">
        <v>82070726</v>
      </c>
      <c r="G508">
        <v>26506</v>
      </c>
      <c r="H508">
        <v>94.6</v>
      </c>
      <c r="I508">
        <v>600000</v>
      </c>
      <c r="J508" t="s">
        <v>29</v>
      </c>
      <c r="K508">
        <v>60.44</v>
      </c>
      <c r="L508">
        <v>61.04</v>
      </c>
      <c r="M508">
        <v>32931652</v>
      </c>
      <c r="N508">
        <v>33037626</v>
      </c>
      <c r="O508">
        <v>0</v>
      </c>
      <c r="P508">
        <v>0</v>
      </c>
      <c r="Q508">
        <v>11287873</v>
      </c>
      <c r="R508">
        <v>11194912</v>
      </c>
      <c r="S508">
        <v>6928520</v>
      </c>
      <c r="T508">
        <v>6706025</v>
      </c>
      <c r="U508">
        <v>0</v>
      </c>
      <c r="V508">
        <v>0</v>
      </c>
      <c r="W508">
        <v>0</v>
      </c>
      <c r="X508">
        <v>0</v>
      </c>
      <c r="Y508">
        <v>30896175</v>
      </c>
      <c r="Z508">
        <v>31132163</v>
      </c>
      <c r="AA508">
        <f t="shared" si="15"/>
        <v>-92961</v>
      </c>
      <c r="AB508">
        <f t="shared" si="14"/>
        <v>-0.82354753636934075</v>
      </c>
    </row>
    <row r="509" spans="1:28">
      <c r="A509" t="s">
        <v>30</v>
      </c>
      <c r="B509" s="2">
        <v>45139</v>
      </c>
      <c r="C509" s="2">
        <v>45108</v>
      </c>
      <c r="D509" s="2">
        <v>45246</v>
      </c>
      <c r="E509">
        <v>25267542</v>
      </c>
      <c r="F509">
        <v>25468958</v>
      </c>
      <c r="G509">
        <v>201416</v>
      </c>
      <c r="H509">
        <v>91.97</v>
      </c>
      <c r="I509">
        <v>100000</v>
      </c>
      <c r="J509" t="s">
        <v>29</v>
      </c>
      <c r="K509">
        <v>6.13</v>
      </c>
      <c r="L509">
        <v>6.23</v>
      </c>
      <c r="M509">
        <v>11189259</v>
      </c>
      <c r="N509">
        <v>11397614</v>
      </c>
      <c r="O509">
        <v>0</v>
      </c>
      <c r="P509">
        <v>0</v>
      </c>
      <c r="Q509">
        <v>1862647</v>
      </c>
      <c r="R509">
        <v>1837672</v>
      </c>
      <c r="S509">
        <v>3195263</v>
      </c>
      <c r="T509">
        <v>3195737</v>
      </c>
      <c r="U509">
        <v>0</v>
      </c>
      <c r="V509">
        <v>0</v>
      </c>
      <c r="W509">
        <v>0</v>
      </c>
      <c r="X509">
        <v>0</v>
      </c>
      <c r="Y509">
        <v>9020373</v>
      </c>
      <c r="Z509">
        <v>9037935</v>
      </c>
      <c r="AA509">
        <f t="shared" si="15"/>
        <v>-24975</v>
      </c>
      <c r="AB509">
        <f t="shared" si="14"/>
        <v>-1.3408337704352999</v>
      </c>
    </row>
    <row r="510" spans="1:28">
      <c r="A510" t="s">
        <v>31</v>
      </c>
      <c r="B510" s="2">
        <v>45139</v>
      </c>
      <c r="C510" s="2">
        <v>45108</v>
      </c>
      <c r="D510" s="2">
        <v>45246</v>
      </c>
      <c r="E510">
        <v>92838640</v>
      </c>
      <c r="F510">
        <v>92679213</v>
      </c>
      <c r="G510">
        <v>-159427</v>
      </c>
      <c r="H510">
        <v>85.76</v>
      </c>
      <c r="I510">
        <v>850000</v>
      </c>
      <c r="J510" t="s">
        <v>29</v>
      </c>
      <c r="K510">
        <v>46.33</v>
      </c>
      <c r="L510">
        <v>47.18</v>
      </c>
      <c r="M510">
        <v>40707005</v>
      </c>
      <c r="N510">
        <v>40627897</v>
      </c>
      <c r="O510">
        <v>0</v>
      </c>
      <c r="P510">
        <v>0</v>
      </c>
      <c r="Q510">
        <v>8007508</v>
      </c>
      <c r="R510">
        <v>7943071</v>
      </c>
      <c r="S510">
        <v>5797509</v>
      </c>
      <c r="T510">
        <v>5387664</v>
      </c>
      <c r="U510">
        <v>0</v>
      </c>
      <c r="V510">
        <v>0</v>
      </c>
      <c r="W510">
        <v>0</v>
      </c>
      <c r="X510">
        <v>0</v>
      </c>
      <c r="Y510">
        <v>38326618</v>
      </c>
      <c r="Z510">
        <v>38720581</v>
      </c>
      <c r="AA510">
        <f t="shared" si="15"/>
        <v>-64437</v>
      </c>
      <c r="AB510">
        <f t="shared" si="14"/>
        <v>-0.80470728221564058</v>
      </c>
    </row>
    <row r="511" spans="1:28">
      <c r="A511" t="s">
        <v>32</v>
      </c>
      <c r="B511" s="2">
        <v>45139</v>
      </c>
      <c r="C511" s="2">
        <v>45108</v>
      </c>
      <c r="D511" s="2">
        <v>45246</v>
      </c>
      <c r="E511">
        <v>54533863</v>
      </c>
      <c r="F511">
        <v>54996333</v>
      </c>
      <c r="G511">
        <v>462470</v>
      </c>
      <c r="H511">
        <v>61.41</v>
      </c>
      <c r="I511">
        <v>590000</v>
      </c>
      <c r="J511" t="s">
        <v>29</v>
      </c>
      <c r="K511">
        <v>41.54</v>
      </c>
      <c r="L511">
        <v>42.13</v>
      </c>
      <c r="M511">
        <v>17304431</v>
      </c>
      <c r="N511">
        <v>17386804</v>
      </c>
      <c r="O511">
        <v>23</v>
      </c>
      <c r="P511">
        <v>23</v>
      </c>
      <c r="Q511">
        <v>16299330</v>
      </c>
      <c r="R511">
        <v>16559451</v>
      </c>
      <c r="S511">
        <v>0</v>
      </c>
      <c r="T511">
        <v>0</v>
      </c>
      <c r="U511">
        <v>0</v>
      </c>
      <c r="V511">
        <v>0</v>
      </c>
      <c r="W511">
        <v>1688464</v>
      </c>
      <c r="X511">
        <v>1688196</v>
      </c>
      <c r="Y511">
        <v>19241615</v>
      </c>
      <c r="Z511">
        <v>19361859</v>
      </c>
      <c r="AA511">
        <f t="shared" si="15"/>
        <v>260121</v>
      </c>
      <c r="AB511">
        <f t="shared" si="14"/>
        <v>1.5958999541698955</v>
      </c>
    </row>
    <row r="512" spans="1:28">
      <c r="A512" t="s">
        <v>33</v>
      </c>
      <c r="B512" s="2">
        <v>45139</v>
      </c>
      <c r="C512" s="2">
        <v>45108</v>
      </c>
      <c r="D512" s="2">
        <v>45246</v>
      </c>
      <c r="E512">
        <v>66205008</v>
      </c>
      <c r="F512">
        <v>66395821</v>
      </c>
      <c r="G512">
        <v>190813</v>
      </c>
      <c r="H512">
        <v>92.18</v>
      </c>
      <c r="I512">
        <v>930000</v>
      </c>
      <c r="J512" t="s">
        <v>29</v>
      </c>
      <c r="K512">
        <v>58.88</v>
      </c>
      <c r="L512">
        <v>59.81</v>
      </c>
      <c r="M512">
        <v>11465865</v>
      </c>
      <c r="N512">
        <v>11517720</v>
      </c>
      <c r="O512">
        <v>47</v>
      </c>
      <c r="P512">
        <v>43</v>
      </c>
      <c r="Q512">
        <v>21731576</v>
      </c>
      <c r="R512">
        <v>21661000</v>
      </c>
      <c r="S512">
        <v>4975672</v>
      </c>
      <c r="T512">
        <v>4909331</v>
      </c>
      <c r="U512">
        <v>0</v>
      </c>
      <c r="V512">
        <v>0</v>
      </c>
      <c r="W512">
        <v>0</v>
      </c>
      <c r="X512">
        <v>0</v>
      </c>
      <c r="Y512">
        <v>28031848</v>
      </c>
      <c r="Z512">
        <v>28307727</v>
      </c>
      <c r="AA512">
        <f t="shared" si="15"/>
        <v>-70576</v>
      </c>
      <c r="AB512">
        <f t="shared" si="14"/>
        <v>-0.32476245625259759</v>
      </c>
    </row>
    <row r="513" spans="1:28">
      <c r="A513" t="s">
        <v>34</v>
      </c>
      <c r="B513" s="2">
        <v>45139</v>
      </c>
      <c r="C513" s="2">
        <v>45108</v>
      </c>
      <c r="D513" s="2">
        <v>45246</v>
      </c>
      <c r="E513">
        <v>26533002</v>
      </c>
      <c r="F513">
        <v>26398982</v>
      </c>
      <c r="G513">
        <v>-134020</v>
      </c>
      <c r="H513">
        <v>90.34</v>
      </c>
      <c r="I513">
        <v>350000</v>
      </c>
      <c r="J513" t="s">
        <v>29</v>
      </c>
      <c r="K513">
        <v>27.72</v>
      </c>
      <c r="L513">
        <v>28.07</v>
      </c>
      <c r="M513">
        <v>6642572</v>
      </c>
      <c r="N513">
        <v>6665375</v>
      </c>
      <c r="O513">
        <v>11</v>
      </c>
      <c r="P513">
        <v>11</v>
      </c>
      <c r="Q513">
        <v>7142447</v>
      </c>
      <c r="R513">
        <v>7059545</v>
      </c>
      <c r="S513">
        <v>4418182</v>
      </c>
      <c r="T513">
        <v>4277190</v>
      </c>
      <c r="U513">
        <v>0</v>
      </c>
      <c r="V513">
        <v>0</v>
      </c>
      <c r="W513">
        <v>0</v>
      </c>
      <c r="X513">
        <v>0</v>
      </c>
      <c r="Y513">
        <v>8329790</v>
      </c>
      <c r="Z513">
        <v>8396861</v>
      </c>
      <c r="AA513">
        <f t="shared" si="15"/>
        <v>-82902</v>
      </c>
      <c r="AB513">
        <f t="shared" si="14"/>
        <v>-1.1606946470866357</v>
      </c>
    </row>
    <row r="514" spans="1:28">
      <c r="A514" t="s">
        <v>35</v>
      </c>
      <c r="B514" s="2">
        <v>45139</v>
      </c>
      <c r="C514" s="2">
        <v>45108</v>
      </c>
      <c r="D514" s="2">
        <v>45246</v>
      </c>
      <c r="E514">
        <v>8844144</v>
      </c>
      <c r="F514">
        <v>8903962</v>
      </c>
      <c r="G514">
        <v>59818</v>
      </c>
      <c r="H514">
        <v>105.83</v>
      </c>
      <c r="I514">
        <v>50000</v>
      </c>
      <c r="J514" t="s">
        <v>29</v>
      </c>
      <c r="K514">
        <v>3.78</v>
      </c>
      <c r="L514">
        <v>3.83</v>
      </c>
      <c r="M514">
        <v>3478313</v>
      </c>
      <c r="N514">
        <v>3555400</v>
      </c>
      <c r="O514">
        <v>92</v>
      </c>
      <c r="P514">
        <v>92</v>
      </c>
      <c r="Q514">
        <v>425849</v>
      </c>
      <c r="R514">
        <v>417731</v>
      </c>
      <c r="S514">
        <v>1614681</v>
      </c>
      <c r="T514">
        <v>1606440</v>
      </c>
      <c r="U514">
        <v>0</v>
      </c>
      <c r="V514">
        <v>0</v>
      </c>
      <c r="W514">
        <v>0</v>
      </c>
      <c r="X514">
        <v>0</v>
      </c>
      <c r="Y514">
        <v>3325209</v>
      </c>
      <c r="Z514">
        <v>3324299</v>
      </c>
      <c r="AA514">
        <f t="shared" si="15"/>
        <v>-8118</v>
      </c>
      <c r="AB514">
        <f t="shared" si="14"/>
        <v>-1.9063095134660406</v>
      </c>
    </row>
    <row r="515" spans="1:28">
      <c r="A515" t="s">
        <v>36</v>
      </c>
      <c r="B515" s="2">
        <v>45139</v>
      </c>
      <c r="C515" s="2">
        <v>45108</v>
      </c>
      <c r="D515" s="2">
        <v>45246</v>
      </c>
      <c r="E515">
        <v>12337006</v>
      </c>
      <c r="F515">
        <v>12222182</v>
      </c>
      <c r="G515">
        <v>-114824</v>
      </c>
      <c r="H515">
        <v>87.39</v>
      </c>
      <c r="I515">
        <v>40000</v>
      </c>
      <c r="J515" t="s">
        <v>29</v>
      </c>
      <c r="K515">
        <v>2.0499999999999998</v>
      </c>
      <c r="L515">
        <v>2.09</v>
      </c>
      <c r="M515">
        <v>5958993</v>
      </c>
      <c r="N515">
        <v>5904045</v>
      </c>
      <c r="O515">
        <v>0</v>
      </c>
      <c r="P515">
        <v>0</v>
      </c>
      <c r="Q515">
        <v>315687</v>
      </c>
      <c r="R515">
        <v>310916</v>
      </c>
      <c r="S515">
        <v>836454</v>
      </c>
      <c r="T515">
        <v>837332</v>
      </c>
      <c r="U515">
        <v>0</v>
      </c>
      <c r="V515">
        <v>0</v>
      </c>
      <c r="W515">
        <v>0</v>
      </c>
      <c r="X515">
        <v>0</v>
      </c>
      <c r="Y515">
        <v>5225872</v>
      </c>
      <c r="Z515">
        <v>5169889</v>
      </c>
      <c r="AA515">
        <f t="shared" si="15"/>
        <v>-4771</v>
      </c>
      <c r="AB515">
        <f t="shared" ref="AB515:AB578" si="16">(($R515-$Q515)/$Q515)*100</f>
        <v>-1.511307085816014</v>
      </c>
    </row>
    <row r="516" spans="1:28">
      <c r="A516" t="s">
        <v>37</v>
      </c>
      <c r="B516" s="2">
        <v>45139</v>
      </c>
      <c r="C516" s="2">
        <v>45108</v>
      </c>
      <c r="D516" s="2">
        <v>45246</v>
      </c>
      <c r="E516">
        <v>66156756</v>
      </c>
      <c r="F516">
        <v>65993221</v>
      </c>
      <c r="G516">
        <v>-163535</v>
      </c>
      <c r="H516">
        <v>86.4</v>
      </c>
      <c r="I516">
        <v>600000</v>
      </c>
      <c r="J516" t="s">
        <v>29</v>
      </c>
      <c r="K516">
        <v>62.17</v>
      </c>
      <c r="L516">
        <v>62.77</v>
      </c>
      <c r="M516">
        <v>31873862</v>
      </c>
      <c r="N516">
        <v>31846069</v>
      </c>
      <c r="O516">
        <v>589</v>
      </c>
      <c r="P516">
        <v>574</v>
      </c>
      <c r="Q516">
        <v>6645326</v>
      </c>
      <c r="R516">
        <v>6666276</v>
      </c>
      <c r="S516">
        <v>5193266</v>
      </c>
      <c r="T516">
        <v>4729271</v>
      </c>
      <c r="U516">
        <v>0</v>
      </c>
      <c r="V516">
        <v>0</v>
      </c>
      <c r="W516">
        <v>0</v>
      </c>
      <c r="X516">
        <v>0</v>
      </c>
      <c r="Y516">
        <v>22443713</v>
      </c>
      <c r="Z516">
        <v>22751031</v>
      </c>
      <c r="AA516">
        <f t="shared" ref="AA516:AA579" si="17">$R516-$Q516</f>
        <v>20950</v>
      </c>
      <c r="AB516">
        <f t="shared" si="16"/>
        <v>0.3152591761487698</v>
      </c>
    </row>
    <row r="517" spans="1:28">
      <c r="A517" t="s">
        <v>38</v>
      </c>
      <c r="B517" s="2">
        <v>45139</v>
      </c>
      <c r="C517" s="2">
        <v>45108</v>
      </c>
      <c r="D517" s="2">
        <v>45246</v>
      </c>
      <c r="E517">
        <v>42399194</v>
      </c>
      <c r="F517">
        <v>42636974</v>
      </c>
      <c r="G517">
        <v>237780</v>
      </c>
      <c r="H517">
        <v>94.08</v>
      </c>
      <c r="I517">
        <v>220000</v>
      </c>
      <c r="J517" t="s">
        <v>29</v>
      </c>
      <c r="K517">
        <v>21.63</v>
      </c>
      <c r="L517">
        <v>21.85</v>
      </c>
      <c r="M517">
        <v>8157958</v>
      </c>
      <c r="N517">
        <v>8315122</v>
      </c>
      <c r="O517">
        <v>113</v>
      </c>
      <c r="P517">
        <v>113</v>
      </c>
      <c r="Q517">
        <v>14150214</v>
      </c>
      <c r="R517">
        <v>14113847</v>
      </c>
      <c r="S517">
        <v>9737842</v>
      </c>
      <c r="T517">
        <v>9749302</v>
      </c>
      <c r="U517">
        <v>0</v>
      </c>
      <c r="V517">
        <v>0</v>
      </c>
      <c r="W517">
        <v>0</v>
      </c>
      <c r="X517">
        <v>0</v>
      </c>
      <c r="Y517">
        <v>10353067</v>
      </c>
      <c r="Z517">
        <v>10458590</v>
      </c>
      <c r="AA517">
        <f t="shared" si="17"/>
        <v>-36367</v>
      </c>
      <c r="AB517">
        <f t="shared" si="16"/>
        <v>-0.25700671382072382</v>
      </c>
    </row>
    <row r="518" spans="1:28">
      <c r="A518" t="s">
        <v>39</v>
      </c>
      <c r="B518" s="2">
        <v>45139</v>
      </c>
      <c r="C518" s="2">
        <v>45108</v>
      </c>
      <c r="D518" s="2">
        <v>45246</v>
      </c>
      <c r="E518">
        <v>23900718</v>
      </c>
      <c r="F518">
        <v>23958217</v>
      </c>
      <c r="G518">
        <v>57499</v>
      </c>
      <c r="H518">
        <v>90.09</v>
      </c>
      <c r="I518">
        <v>190000</v>
      </c>
      <c r="J518" t="s">
        <v>29</v>
      </c>
      <c r="K518">
        <v>16.52</v>
      </c>
      <c r="L518">
        <v>16.71</v>
      </c>
      <c r="M518">
        <v>5642971</v>
      </c>
      <c r="N518">
        <v>5646218</v>
      </c>
      <c r="O518">
        <v>0</v>
      </c>
      <c r="P518">
        <v>0</v>
      </c>
      <c r="Q518">
        <v>5590247</v>
      </c>
      <c r="R518">
        <v>5571836</v>
      </c>
      <c r="S518">
        <v>2180802</v>
      </c>
      <c r="T518">
        <v>2185799</v>
      </c>
      <c r="U518">
        <v>0</v>
      </c>
      <c r="V518">
        <v>0</v>
      </c>
      <c r="W518">
        <v>0</v>
      </c>
      <c r="X518">
        <v>0</v>
      </c>
      <c r="Y518">
        <v>10486698</v>
      </c>
      <c r="Z518">
        <v>10554364</v>
      </c>
      <c r="AA518">
        <f t="shared" si="17"/>
        <v>-18411</v>
      </c>
      <c r="AB518">
        <f t="shared" si="16"/>
        <v>-0.32934144054815467</v>
      </c>
    </row>
    <row r="519" spans="1:28">
      <c r="A519" t="s">
        <v>40</v>
      </c>
      <c r="B519" s="2">
        <v>45139</v>
      </c>
      <c r="C519" s="2">
        <v>45108</v>
      </c>
      <c r="D519" s="2">
        <v>45246</v>
      </c>
      <c r="E519">
        <v>77385362</v>
      </c>
      <c r="F519">
        <v>77506963</v>
      </c>
      <c r="G519">
        <v>121601</v>
      </c>
      <c r="H519">
        <v>84.92</v>
      </c>
      <c r="I519">
        <v>1060000</v>
      </c>
      <c r="J519" t="s">
        <v>29</v>
      </c>
      <c r="K519">
        <v>66.06</v>
      </c>
      <c r="L519">
        <v>67.12</v>
      </c>
      <c r="M519">
        <v>15585706</v>
      </c>
      <c r="N519">
        <v>15676474</v>
      </c>
      <c r="O519">
        <v>0</v>
      </c>
      <c r="P519">
        <v>0</v>
      </c>
      <c r="Q519">
        <v>16615675</v>
      </c>
      <c r="R519">
        <v>16457711</v>
      </c>
      <c r="S519">
        <v>5126550</v>
      </c>
      <c r="T519">
        <v>5063666</v>
      </c>
      <c r="U519">
        <v>0</v>
      </c>
      <c r="V519">
        <v>0</v>
      </c>
      <c r="W519">
        <v>0</v>
      </c>
      <c r="X519">
        <v>0</v>
      </c>
      <c r="Y519">
        <v>40057431</v>
      </c>
      <c r="Z519">
        <v>40309112</v>
      </c>
      <c r="AA519">
        <f t="shared" si="17"/>
        <v>-157964</v>
      </c>
      <c r="AB519">
        <f t="shared" si="16"/>
        <v>-0.95069264414476085</v>
      </c>
    </row>
    <row r="520" spans="1:28">
      <c r="A520" t="s">
        <v>41</v>
      </c>
      <c r="B520" s="2">
        <v>45139</v>
      </c>
      <c r="C520" s="2">
        <v>45108</v>
      </c>
      <c r="D520" s="2">
        <v>45246</v>
      </c>
      <c r="E520">
        <v>92586366</v>
      </c>
      <c r="F520">
        <v>93020419</v>
      </c>
      <c r="G520">
        <v>434053</v>
      </c>
      <c r="H520">
        <v>92.29</v>
      </c>
      <c r="I520">
        <v>1090000</v>
      </c>
      <c r="J520" t="s">
        <v>29</v>
      </c>
      <c r="K520">
        <v>71.22</v>
      </c>
      <c r="L520">
        <v>72.31</v>
      </c>
      <c r="M520">
        <v>21281406</v>
      </c>
      <c r="N520">
        <v>21310359</v>
      </c>
      <c r="O520">
        <v>0</v>
      </c>
      <c r="P520">
        <v>0</v>
      </c>
      <c r="Q520">
        <v>23547709</v>
      </c>
      <c r="R520">
        <v>23434106</v>
      </c>
      <c r="S520">
        <v>6227022</v>
      </c>
      <c r="T520">
        <v>6127418</v>
      </c>
      <c r="U520">
        <v>0</v>
      </c>
      <c r="V520">
        <v>0</v>
      </c>
      <c r="W520">
        <v>0</v>
      </c>
      <c r="X520">
        <v>0</v>
      </c>
      <c r="Y520">
        <v>41530229</v>
      </c>
      <c r="Z520">
        <v>42148536</v>
      </c>
      <c r="AA520">
        <f t="shared" si="17"/>
        <v>-113603</v>
      </c>
      <c r="AB520">
        <f t="shared" si="16"/>
        <v>-0.48243759085013321</v>
      </c>
    </row>
    <row r="521" spans="1:28">
      <c r="A521" t="s">
        <v>42</v>
      </c>
      <c r="B521" s="2">
        <v>45139</v>
      </c>
      <c r="C521" s="2">
        <v>45108</v>
      </c>
      <c r="D521" s="2">
        <v>45246</v>
      </c>
      <c r="E521">
        <v>33838883</v>
      </c>
      <c r="F521">
        <v>33790931</v>
      </c>
      <c r="G521">
        <v>-47952</v>
      </c>
      <c r="H521">
        <v>71.2</v>
      </c>
      <c r="I521">
        <v>280000</v>
      </c>
      <c r="J521" t="s">
        <v>29</v>
      </c>
      <c r="K521">
        <v>30.97</v>
      </c>
      <c r="L521">
        <v>31.25</v>
      </c>
      <c r="M521">
        <v>9986070</v>
      </c>
      <c r="N521">
        <v>10011054</v>
      </c>
      <c r="O521">
        <v>925</v>
      </c>
      <c r="P521">
        <v>877</v>
      </c>
      <c r="Q521">
        <v>11140887</v>
      </c>
      <c r="R521">
        <v>11142422</v>
      </c>
      <c r="S521">
        <v>0</v>
      </c>
      <c r="T521">
        <v>0</v>
      </c>
      <c r="U521">
        <v>0</v>
      </c>
      <c r="V521">
        <v>0</v>
      </c>
      <c r="W521">
        <v>269895</v>
      </c>
      <c r="X521">
        <v>265883</v>
      </c>
      <c r="Y521">
        <v>12441106</v>
      </c>
      <c r="Z521">
        <v>12370695</v>
      </c>
      <c r="AA521">
        <f t="shared" si="17"/>
        <v>1535</v>
      </c>
      <c r="AB521">
        <f t="shared" si="16"/>
        <v>1.3778077095656746E-2</v>
      </c>
    </row>
    <row r="522" spans="1:28">
      <c r="A522" t="s">
        <v>43</v>
      </c>
      <c r="B522" s="2">
        <v>45139</v>
      </c>
      <c r="C522" s="2">
        <v>45108</v>
      </c>
      <c r="D522" s="2">
        <v>45246</v>
      </c>
      <c r="E522">
        <v>12328216</v>
      </c>
      <c r="F522">
        <v>12351102</v>
      </c>
      <c r="G522">
        <v>22886</v>
      </c>
      <c r="H522">
        <v>93.02</v>
      </c>
      <c r="I522">
        <v>20000</v>
      </c>
      <c r="J522" t="s">
        <v>29</v>
      </c>
      <c r="K522">
        <v>2.02</v>
      </c>
      <c r="L522">
        <v>2.04</v>
      </c>
      <c r="M522">
        <v>6015633</v>
      </c>
      <c r="N522">
        <v>6054529</v>
      </c>
      <c r="O522">
        <v>0</v>
      </c>
      <c r="P522">
        <v>0</v>
      </c>
      <c r="Q522">
        <v>907470</v>
      </c>
      <c r="R522">
        <v>891990</v>
      </c>
      <c r="S522">
        <v>1275573</v>
      </c>
      <c r="T522">
        <v>1270211</v>
      </c>
      <c r="U522">
        <v>0</v>
      </c>
      <c r="V522">
        <v>0</v>
      </c>
      <c r="W522">
        <v>0</v>
      </c>
      <c r="X522">
        <v>0</v>
      </c>
      <c r="Y522">
        <v>4129540</v>
      </c>
      <c r="Z522">
        <v>4134372</v>
      </c>
      <c r="AA522">
        <f t="shared" si="17"/>
        <v>-15480</v>
      </c>
      <c r="AB522">
        <f t="shared" si="16"/>
        <v>-1.7058415154219975</v>
      </c>
    </row>
    <row r="523" spans="1:28">
      <c r="A523" t="s">
        <v>44</v>
      </c>
      <c r="B523" s="2">
        <v>45139</v>
      </c>
      <c r="C523" s="2">
        <v>45108</v>
      </c>
      <c r="D523" s="2">
        <v>45246</v>
      </c>
      <c r="E523">
        <v>33561993</v>
      </c>
      <c r="F523">
        <v>33607998</v>
      </c>
      <c r="G523">
        <v>46005</v>
      </c>
      <c r="H523">
        <v>92.7</v>
      </c>
      <c r="I523">
        <v>190000</v>
      </c>
      <c r="J523" t="s">
        <v>29</v>
      </c>
      <c r="K523">
        <v>15.64</v>
      </c>
      <c r="L523">
        <v>15.83</v>
      </c>
      <c r="M523">
        <v>11430324</v>
      </c>
      <c r="N523">
        <v>11445041</v>
      </c>
      <c r="O523">
        <v>29</v>
      </c>
      <c r="P523">
        <v>29</v>
      </c>
      <c r="Q523">
        <v>1567995</v>
      </c>
      <c r="R523">
        <v>1562770</v>
      </c>
      <c r="S523">
        <v>6204752</v>
      </c>
      <c r="T523">
        <v>6212390</v>
      </c>
      <c r="U523">
        <v>0</v>
      </c>
      <c r="V523">
        <v>0</v>
      </c>
      <c r="W523">
        <v>0</v>
      </c>
      <c r="X523">
        <v>0</v>
      </c>
      <c r="Y523">
        <v>14358893</v>
      </c>
      <c r="Z523">
        <v>14387768</v>
      </c>
      <c r="AA523">
        <f t="shared" si="17"/>
        <v>-5225</v>
      </c>
      <c r="AB523">
        <f t="shared" si="16"/>
        <v>-0.33322810340594194</v>
      </c>
    </row>
    <row r="524" spans="1:28">
      <c r="A524" t="s">
        <v>45</v>
      </c>
      <c r="B524" s="2">
        <v>45139</v>
      </c>
      <c r="C524" s="2">
        <v>45108</v>
      </c>
      <c r="D524" s="2">
        <v>45246</v>
      </c>
      <c r="E524">
        <v>35215381</v>
      </c>
      <c r="F524">
        <v>35077707</v>
      </c>
      <c r="G524">
        <v>-137674</v>
      </c>
      <c r="H524">
        <v>93.06</v>
      </c>
      <c r="I524">
        <v>330000</v>
      </c>
      <c r="J524" t="s">
        <v>29</v>
      </c>
      <c r="K524">
        <v>29.87</v>
      </c>
      <c r="L524">
        <v>30.2</v>
      </c>
      <c r="M524">
        <v>12303728</v>
      </c>
      <c r="N524">
        <v>12337792</v>
      </c>
      <c r="O524">
        <v>106</v>
      </c>
      <c r="P524">
        <v>106</v>
      </c>
      <c r="Q524">
        <v>6831994</v>
      </c>
      <c r="R524">
        <v>6779316</v>
      </c>
      <c r="S524">
        <v>4477029</v>
      </c>
      <c r="T524">
        <v>4257440</v>
      </c>
      <c r="U524">
        <v>0</v>
      </c>
      <c r="V524">
        <v>0</v>
      </c>
      <c r="W524">
        <v>0</v>
      </c>
      <c r="X524">
        <v>0</v>
      </c>
      <c r="Y524">
        <v>11602524</v>
      </c>
      <c r="Z524">
        <v>11703053</v>
      </c>
      <c r="AA524">
        <f t="shared" si="17"/>
        <v>-52678</v>
      </c>
      <c r="AB524">
        <f t="shared" si="16"/>
        <v>-0.77104868651816738</v>
      </c>
    </row>
    <row r="525" spans="1:28">
      <c r="A525" t="s">
        <v>46</v>
      </c>
      <c r="B525" s="2">
        <v>45139</v>
      </c>
      <c r="C525" s="2">
        <v>45108</v>
      </c>
      <c r="D525" s="2">
        <v>45246</v>
      </c>
      <c r="E525">
        <v>63821517</v>
      </c>
      <c r="F525">
        <v>64561800</v>
      </c>
      <c r="G525">
        <v>740283</v>
      </c>
      <c r="H525">
        <v>85.9</v>
      </c>
      <c r="I525">
        <v>780000</v>
      </c>
      <c r="J525" t="s">
        <v>29</v>
      </c>
      <c r="K525">
        <v>60.51</v>
      </c>
      <c r="L525">
        <v>61.29</v>
      </c>
      <c r="M525">
        <v>22822546</v>
      </c>
      <c r="N525">
        <v>22991248</v>
      </c>
      <c r="O525">
        <v>155</v>
      </c>
      <c r="P525">
        <v>155</v>
      </c>
      <c r="Q525">
        <v>9771036</v>
      </c>
      <c r="R525">
        <v>10445136</v>
      </c>
      <c r="S525">
        <v>5747614</v>
      </c>
      <c r="T525">
        <v>5568427</v>
      </c>
      <c r="U525">
        <v>0</v>
      </c>
      <c r="V525">
        <v>0</v>
      </c>
      <c r="W525">
        <v>0</v>
      </c>
      <c r="X525">
        <v>0</v>
      </c>
      <c r="Y525">
        <v>25480166</v>
      </c>
      <c r="Z525">
        <v>25556834</v>
      </c>
      <c r="AA525">
        <f t="shared" si="17"/>
        <v>674100</v>
      </c>
      <c r="AB525">
        <f t="shared" si="16"/>
        <v>6.8989613793255913</v>
      </c>
    </row>
    <row r="526" spans="1:28">
      <c r="A526" t="s">
        <v>47</v>
      </c>
      <c r="B526" s="2">
        <v>45139</v>
      </c>
      <c r="C526" s="2">
        <v>45108</v>
      </c>
      <c r="D526" s="2">
        <v>45246</v>
      </c>
      <c r="E526">
        <v>77011114</v>
      </c>
      <c r="F526">
        <v>77310772</v>
      </c>
      <c r="G526">
        <v>299658</v>
      </c>
      <c r="H526">
        <v>95.22</v>
      </c>
      <c r="I526">
        <v>560000</v>
      </c>
      <c r="J526" t="s">
        <v>29</v>
      </c>
      <c r="K526">
        <v>57.35</v>
      </c>
      <c r="L526">
        <v>57.91</v>
      </c>
      <c r="M526">
        <v>28250863</v>
      </c>
      <c r="N526">
        <v>28486784</v>
      </c>
      <c r="O526">
        <v>262</v>
      </c>
      <c r="P526">
        <v>238</v>
      </c>
      <c r="Q526">
        <v>16274350</v>
      </c>
      <c r="R526">
        <v>16268019</v>
      </c>
      <c r="S526">
        <v>7670899</v>
      </c>
      <c r="T526">
        <v>7610751</v>
      </c>
      <c r="U526">
        <v>152444</v>
      </c>
      <c r="V526">
        <v>158338</v>
      </c>
      <c r="W526">
        <v>0</v>
      </c>
      <c r="X526">
        <v>0</v>
      </c>
      <c r="Y526">
        <v>24662296</v>
      </c>
      <c r="Z526">
        <v>24786642</v>
      </c>
      <c r="AA526">
        <f t="shared" si="17"/>
        <v>-6331</v>
      </c>
      <c r="AB526">
        <f t="shared" si="16"/>
        <v>-3.8901707287848669E-2</v>
      </c>
    </row>
    <row r="527" spans="1:28">
      <c r="A527" t="s">
        <v>48</v>
      </c>
      <c r="B527" s="2">
        <v>45139</v>
      </c>
      <c r="C527" s="2">
        <v>45108</v>
      </c>
      <c r="D527" s="2">
        <v>45246</v>
      </c>
      <c r="E527">
        <v>100238073</v>
      </c>
      <c r="F527">
        <v>100407189</v>
      </c>
      <c r="G527">
        <v>169116</v>
      </c>
      <c r="H527">
        <v>87.05</v>
      </c>
      <c r="I527">
        <v>1730000</v>
      </c>
      <c r="J527" t="s">
        <v>29</v>
      </c>
      <c r="K527">
        <v>76.81</v>
      </c>
      <c r="L527">
        <v>78.540000000000006</v>
      </c>
      <c r="M527">
        <v>36709961</v>
      </c>
      <c r="N527">
        <v>36784488</v>
      </c>
      <c r="O527">
        <v>0</v>
      </c>
      <c r="P527">
        <v>0</v>
      </c>
      <c r="Q527">
        <v>18227215</v>
      </c>
      <c r="R527">
        <v>18090106</v>
      </c>
      <c r="S527">
        <v>8654501</v>
      </c>
      <c r="T527">
        <v>8496815</v>
      </c>
      <c r="U527">
        <v>0</v>
      </c>
      <c r="V527">
        <v>0</v>
      </c>
      <c r="W527">
        <v>0</v>
      </c>
      <c r="X527">
        <v>0</v>
      </c>
      <c r="Y527">
        <v>36646396</v>
      </c>
      <c r="Z527">
        <v>37035780</v>
      </c>
      <c r="AA527">
        <f t="shared" si="17"/>
        <v>-137109</v>
      </c>
      <c r="AB527">
        <f t="shared" si="16"/>
        <v>-0.75222133496532528</v>
      </c>
    </row>
    <row r="528" spans="1:28">
      <c r="A528" t="s">
        <v>49</v>
      </c>
      <c r="B528" s="2">
        <v>45139</v>
      </c>
      <c r="C528" s="2">
        <v>45108</v>
      </c>
      <c r="D528" s="2">
        <v>45246</v>
      </c>
      <c r="E528">
        <v>62480431</v>
      </c>
      <c r="F528">
        <v>62450326</v>
      </c>
      <c r="G528">
        <v>-30105</v>
      </c>
      <c r="H528">
        <v>90.01</v>
      </c>
      <c r="I528">
        <v>1220000</v>
      </c>
      <c r="J528" t="s">
        <v>29</v>
      </c>
      <c r="K528">
        <v>59.54</v>
      </c>
      <c r="L528">
        <v>60.76</v>
      </c>
      <c r="M528">
        <v>18309233</v>
      </c>
      <c r="N528">
        <v>18197362</v>
      </c>
      <c r="O528">
        <v>8</v>
      </c>
      <c r="P528">
        <v>8</v>
      </c>
      <c r="Q528">
        <v>16061802</v>
      </c>
      <c r="R528">
        <v>16036276</v>
      </c>
      <c r="S528">
        <v>5296930</v>
      </c>
      <c r="T528">
        <v>5267948</v>
      </c>
      <c r="U528">
        <v>0</v>
      </c>
      <c r="V528">
        <v>0</v>
      </c>
      <c r="W528">
        <v>0</v>
      </c>
      <c r="X528">
        <v>0</v>
      </c>
      <c r="Y528">
        <v>22812458</v>
      </c>
      <c r="Z528">
        <v>22948732</v>
      </c>
      <c r="AA528">
        <f t="shared" si="17"/>
        <v>-25526</v>
      </c>
      <c r="AB528">
        <f t="shared" si="16"/>
        <v>-0.15892363758437564</v>
      </c>
    </row>
    <row r="529" spans="1:28">
      <c r="A529" t="s">
        <v>50</v>
      </c>
      <c r="B529" s="2">
        <v>45139</v>
      </c>
      <c r="C529" s="2">
        <v>45108</v>
      </c>
      <c r="D529" s="2">
        <v>45246</v>
      </c>
      <c r="E529">
        <v>56718379</v>
      </c>
      <c r="F529">
        <v>56624446</v>
      </c>
      <c r="G529">
        <v>-93933</v>
      </c>
      <c r="H529">
        <v>88.43</v>
      </c>
      <c r="I529">
        <v>870000</v>
      </c>
      <c r="J529" t="s">
        <v>29</v>
      </c>
      <c r="K529">
        <v>47.6</v>
      </c>
      <c r="L529">
        <v>48.47</v>
      </c>
      <c r="M529">
        <v>17194260</v>
      </c>
      <c r="N529">
        <v>17265294</v>
      </c>
      <c r="O529">
        <v>147</v>
      </c>
      <c r="P529">
        <v>115</v>
      </c>
      <c r="Q529">
        <v>13929542</v>
      </c>
      <c r="R529">
        <v>13840488</v>
      </c>
      <c r="S529">
        <v>2507058</v>
      </c>
      <c r="T529">
        <v>2380414</v>
      </c>
      <c r="U529">
        <v>0</v>
      </c>
      <c r="V529">
        <v>0</v>
      </c>
      <c r="W529">
        <v>0</v>
      </c>
      <c r="X529">
        <v>0</v>
      </c>
      <c r="Y529">
        <v>23087372</v>
      </c>
      <c r="Z529">
        <v>23138135</v>
      </c>
      <c r="AA529">
        <f t="shared" si="17"/>
        <v>-89054</v>
      </c>
      <c r="AB529">
        <f t="shared" si="16"/>
        <v>-0.63931750232706863</v>
      </c>
    </row>
    <row r="530" spans="1:28">
      <c r="A530" t="s">
        <v>28</v>
      </c>
      <c r="B530" s="2">
        <v>45170</v>
      </c>
      <c r="C530" s="2">
        <v>45139</v>
      </c>
      <c r="D530" s="2">
        <v>45280</v>
      </c>
      <c r="E530">
        <v>82070726</v>
      </c>
      <c r="F530">
        <v>82173782</v>
      </c>
      <c r="G530">
        <v>103056</v>
      </c>
      <c r="H530">
        <v>96.24</v>
      </c>
      <c r="I530">
        <v>590000</v>
      </c>
      <c r="J530" t="s">
        <v>29</v>
      </c>
      <c r="K530">
        <v>61.04</v>
      </c>
      <c r="L530">
        <v>61.63</v>
      </c>
      <c r="M530">
        <v>33037626</v>
      </c>
      <c r="N530">
        <v>33157725</v>
      </c>
      <c r="O530">
        <v>0</v>
      </c>
      <c r="P530">
        <v>0</v>
      </c>
      <c r="Q530">
        <v>11194912</v>
      </c>
      <c r="R530">
        <v>11007032</v>
      </c>
      <c r="S530">
        <v>6706025</v>
      </c>
      <c r="T530">
        <v>6631388</v>
      </c>
      <c r="U530">
        <v>0</v>
      </c>
      <c r="V530">
        <v>0</v>
      </c>
      <c r="W530">
        <v>0</v>
      </c>
      <c r="X530">
        <v>0</v>
      </c>
      <c r="Y530">
        <v>31132163</v>
      </c>
      <c r="Z530">
        <v>31377637</v>
      </c>
      <c r="AA530">
        <f t="shared" si="17"/>
        <v>-187880</v>
      </c>
      <c r="AB530">
        <f t="shared" si="16"/>
        <v>-1.6782624106379755</v>
      </c>
    </row>
    <row r="531" spans="1:28">
      <c r="A531" t="s">
        <v>30</v>
      </c>
      <c r="B531" s="2">
        <v>45170</v>
      </c>
      <c r="C531" s="2">
        <v>45139</v>
      </c>
      <c r="D531" s="2">
        <v>45280</v>
      </c>
      <c r="E531">
        <v>25468958</v>
      </c>
      <c r="F531">
        <v>25512439</v>
      </c>
      <c r="G531">
        <v>43481</v>
      </c>
      <c r="H531">
        <v>92.17</v>
      </c>
      <c r="I531">
        <v>110000</v>
      </c>
      <c r="J531" t="s">
        <v>29</v>
      </c>
      <c r="K531">
        <v>6.23</v>
      </c>
      <c r="L531">
        <v>6.34</v>
      </c>
      <c r="M531">
        <v>11397614</v>
      </c>
      <c r="N531">
        <v>11475925</v>
      </c>
      <c r="O531">
        <v>0</v>
      </c>
      <c r="P531">
        <v>0</v>
      </c>
      <c r="Q531">
        <v>1837672</v>
      </c>
      <c r="R531">
        <v>1803134</v>
      </c>
      <c r="S531">
        <v>3195737</v>
      </c>
      <c r="T531">
        <v>3192009</v>
      </c>
      <c r="U531">
        <v>0</v>
      </c>
      <c r="V531">
        <v>0</v>
      </c>
      <c r="W531">
        <v>0</v>
      </c>
      <c r="X531">
        <v>0</v>
      </c>
      <c r="Y531">
        <v>9037935</v>
      </c>
      <c r="Z531">
        <v>9041371</v>
      </c>
      <c r="AA531">
        <f t="shared" si="17"/>
        <v>-34538</v>
      </c>
      <c r="AB531">
        <f t="shared" si="16"/>
        <v>-1.8794431215146119</v>
      </c>
    </row>
    <row r="532" spans="1:28">
      <c r="A532" t="s">
        <v>31</v>
      </c>
      <c r="B532" s="2">
        <v>45170</v>
      </c>
      <c r="C532" s="2">
        <v>45139</v>
      </c>
      <c r="D532" s="2">
        <v>45280</v>
      </c>
      <c r="E532">
        <v>92679213</v>
      </c>
      <c r="F532">
        <v>93044363</v>
      </c>
      <c r="G532">
        <v>365150</v>
      </c>
      <c r="H532">
        <v>83.76</v>
      </c>
      <c r="I532">
        <v>880000</v>
      </c>
      <c r="J532" t="s">
        <v>29</v>
      </c>
      <c r="K532">
        <v>47.18</v>
      </c>
      <c r="L532">
        <v>48.06</v>
      </c>
      <c r="M532">
        <v>40627897</v>
      </c>
      <c r="N532">
        <v>40649017</v>
      </c>
      <c r="O532">
        <v>0</v>
      </c>
      <c r="P532">
        <v>0</v>
      </c>
      <c r="Q532">
        <v>7943071</v>
      </c>
      <c r="R532">
        <v>7840736</v>
      </c>
      <c r="S532">
        <v>5387664</v>
      </c>
      <c r="T532">
        <v>5397055</v>
      </c>
      <c r="U532">
        <v>0</v>
      </c>
      <c r="V532">
        <v>0</v>
      </c>
      <c r="W532">
        <v>0</v>
      </c>
      <c r="X532">
        <v>0</v>
      </c>
      <c r="Y532">
        <v>38720581</v>
      </c>
      <c r="Z532">
        <v>39157555</v>
      </c>
      <c r="AA532">
        <f t="shared" si="17"/>
        <v>-102335</v>
      </c>
      <c r="AB532">
        <f t="shared" si="16"/>
        <v>-1.2883555994904239</v>
      </c>
    </row>
    <row r="533" spans="1:28">
      <c r="A533" t="s">
        <v>32</v>
      </c>
      <c r="B533" s="2">
        <v>45170</v>
      </c>
      <c r="C533" s="2">
        <v>45139</v>
      </c>
      <c r="D533" s="2">
        <v>45280</v>
      </c>
      <c r="E533">
        <v>54996333</v>
      </c>
      <c r="F533">
        <v>55392989</v>
      </c>
      <c r="G533">
        <v>396656</v>
      </c>
      <c r="H533">
        <v>61.49</v>
      </c>
      <c r="I533">
        <v>590000</v>
      </c>
      <c r="J533" t="s">
        <v>29</v>
      </c>
      <c r="K533">
        <v>42.13</v>
      </c>
      <c r="L533">
        <v>42.72</v>
      </c>
      <c r="M533">
        <v>17386804</v>
      </c>
      <c r="N533">
        <v>17633421</v>
      </c>
      <c r="O533">
        <v>23</v>
      </c>
      <c r="P533">
        <v>23</v>
      </c>
      <c r="Q533">
        <v>16559451</v>
      </c>
      <c r="R533">
        <v>16583934</v>
      </c>
      <c r="S533">
        <v>0</v>
      </c>
      <c r="T533">
        <v>0</v>
      </c>
      <c r="U533">
        <v>0</v>
      </c>
      <c r="V533">
        <v>0</v>
      </c>
      <c r="W533">
        <v>1688196</v>
      </c>
      <c r="X533">
        <v>1688013</v>
      </c>
      <c r="Y533">
        <v>19361859</v>
      </c>
      <c r="Z533">
        <v>19487598</v>
      </c>
      <c r="AA533">
        <f t="shared" si="17"/>
        <v>24483</v>
      </c>
      <c r="AB533">
        <f t="shared" si="16"/>
        <v>0.14784910441777327</v>
      </c>
    </row>
    <row r="534" spans="1:28">
      <c r="A534" t="s">
        <v>33</v>
      </c>
      <c r="B534" s="2">
        <v>45170</v>
      </c>
      <c r="C534" s="2">
        <v>45139</v>
      </c>
      <c r="D534" s="2">
        <v>45280</v>
      </c>
      <c r="E534">
        <v>66395821</v>
      </c>
      <c r="F534">
        <v>66028060</v>
      </c>
      <c r="G534">
        <v>-367761</v>
      </c>
      <c r="H534">
        <v>92.05</v>
      </c>
      <c r="I534">
        <v>900000</v>
      </c>
      <c r="J534" t="s">
        <v>29</v>
      </c>
      <c r="K534">
        <v>59.81</v>
      </c>
      <c r="L534">
        <v>60.71</v>
      </c>
      <c r="M534">
        <v>11517720</v>
      </c>
      <c r="N534">
        <v>11575256</v>
      </c>
      <c r="O534">
        <v>43</v>
      </c>
      <c r="P534">
        <v>43</v>
      </c>
      <c r="Q534">
        <v>21661000</v>
      </c>
      <c r="R534">
        <v>21512053</v>
      </c>
      <c r="S534">
        <v>4909331</v>
      </c>
      <c r="T534">
        <v>4416610</v>
      </c>
      <c r="U534">
        <v>0</v>
      </c>
      <c r="V534">
        <v>0</v>
      </c>
      <c r="W534">
        <v>0</v>
      </c>
      <c r="X534">
        <v>0</v>
      </c>
      <c r="Y534">
        <v>28307727</v>
      </c>
      <c r="Z534">
        <v>28524098</v>
      </c>
      <c r="AA534">
        <f t="shared" si="17"/>
        <v>-148947</v>
      </c>
      <c r="AB534">
        <f t="shared" si="16"/>
        <v>-0.68762753335487736</v>
      </c>
    </row>
    <row r="535" spans="1:28">
      <c r="A535" t="s">
        <v>34</v>
      </c>
      <c r="B535" s="2">
        <v>45170</v>
      </c>
      <c r="C535" s="2">
        <v>45139</v>
      </c>
      <c r="D535" s="2">
        <v>45280</v>
      </c>
      <c r="E535">
        <v>26398982</v>
      </c>
      <c r="F535">
        <v>26339474</v>
      </c>
      <c r="G535">
        <v>-59508</v>
      </c>
      <c r="H535">
        <v>90.77</v>
      </c>
      <c r="I535">
        <v>360000</v>
      </c>
      <c r="J535" t="s">
        <v>29</v>
      </c>
      <c r="K535">
        <v>28.07</v>
      </c>
      <c r="L535">
        <v>28.43</v>
      </c>
      <c r="M535">
        <v>6665375</v>
      </c>
      <c r="N535">
        <v>6710871</v>
      </c>
      <c r="O535">
        <v>11</v>
      </c>
      <c r="P535">
        <v>11</v>
      </c>
      <c r="Q535">
        <v>7059545</v>
      </c>
      <c r="R535">
        <v>6979837</v>
      </c>
      <c r="S535">
        <v>4277190</v>
      </c>
      <c r="T535">
        <v>4212788</v>
      </c>
      <c r="U535">
        <v>0</v>
      </c>
      <c r="V535">
        <v>0</v>
      </c>
      <c r="W535">
        <v>0</v>
      </c>
      <c r="X535">
        <v>0</v>
      </c>
      <c r="Y535">
        <v>8396861</v>
      </c>
      <c r="Z535">
        <v>8435967</v>
      </c>
      <c r="AA535">
        <f t="shared" si="17"/>
        <v>-79708</v>
      </c>
      <c r="AB535">
        <f t="shared" si="16"/>
        <v>-1.1290812651523576</v>
      </c>
    </row>
    <row r="536" spans="1:28">
      <c r="A536" t="s">
        <v>35</v>
      </c>
      <c r="B536" s="2">
        <v>45170</v>
      </c>
      <c r="C536" s="2">
        <v>45139</v>
      </c>
      <c r="D536" s="2">
        <v>45280</v>
      </c>
      <c r="E536">
        <v>8903962</v>
      </c>
      <c r="F536">
        <v>8914013</v>
      </c>
      <c r="G536">
        <v>10051</v>
      </c>
      <c r="H536">
        <v>106.52</v>
      </c>
      <c r="I536">
        <v>50000</v>
      </c>
      <c r="J536" t="s">
        <v>29</v>
      </c>
      <c r="K536">
        <v>3.83</v>
      </c>
      <c r="L536">
        <v>3.88</v>
      </c>
      <c r="M536">
        <v>3555400</v>
      </c>
      <c r="N536">
        <v>3564011</v>
      </c>
      <c r="O536">
        <v>92</v>
      </c>
      <c r="P536">
        <v>92</v>
      </c>
      <c r="Q536">
        <v>417731</v>
      </c>
      <c r="R536">
        <v>412534</v>
      </c>
      <c r="S536">
        <v>1606440</v>
      </c>
      <c r="T536">
        <v>1603113</v>
      </c>
      <c r="U536">
        <v>0</v>
      </c>
      <c r="V536">
        <v>0</v>
      </c>
      <c r="W536">
        <v>0</v>
      </c>
      <c r="X536">
        <v>0</v>
      </c>
      <c r="Y536">
        <v>3324299</v>
      </c>
      <c r="Z536">
        <v>3334263</v>
      </c>
      <c r="AA536">
        <f t="shared" si="17"/>
        <v>-5197</v>
      </c>
      <c r="AB536">
        <f t="shared" si="16"/>
        <v>-1.2441020656834183</v>
      </c>
    </row>
    <row r="537" spans="1:28">
      <c r="A537" t="s">
        <v>36</v>
      </c>
      <c r="B537" s="2">
        <v>45170</v>
      </c>
      <c r="C537" s="2">
        <v>45139</v>
      </c>
      <c r="D537" s="2">
        <v>45280</v>
      </c>
      <c r="E537">
        <v>12222182</v>
      </c>
      <c r="F537">
        <v>12264055</v>
      </c>
      <c r="G537">
        <v>41873</v>
      </c>
      <c r="H537">
        <v>86.69</v>
      </c>
      <c r="I537">
        <v>50000</v>
      </c>
      <c r="J537" t="s">
        <v>29</v>
      </c>
      <c r="K537">
        <v>2.09</v>
      </c>
      <c r="L537">
        <v>2.14</v>
      </c>
      <c r="M537">
        <v>5904045</v>
      </c>
      <c r="N537">
        <v>5933139</v>
      </c>
      <c r="O537">
        <v>0</v>
      </c>
      <c r="P537">
        <v>0</v>
      </c>
      <c r="Q537">
        <v>310916</v>
      </c>
      <c r="R537">
        <v>308207</v>
      </c>
      <c r="S537">
        <v>837332</v>
      </c>
      <c r="T537">
        <v>826820</v>
      </c>
      <c r="U537">
        <v>0</v>
      </c>
      <c r="V537">
        <v>0</v>
      </c>
      <c r="W537">
        <v>0</v>
      </c>
      <c r="X537">
        <v>0</v>
      </c>
      <c r="Y537">
        <v>5169889</v>
      </c>
      <c r="Z537">
        <v>5195889</v>
      </c>
      <c r="AA537">
        <f t="shared" si="17"/>
        <v>-2709</v>
      </c>
      <c r="AB537">
        <f t="shared" si="16"/>
        <v>-0.87129642733085455</v>
      </c>
    </row>
    <row r="538" spans="1:28">
      <c r="A538" t="s">
        <v>37</v>
      </c>
      <c r="B538" s="2">
        <v>45170</v>
      </c>
      <c r="C538" s="2">
        <v>45139</v>
      </c>
      <c r="D538" s="2">
        <v>45280</v>
      </c>
      <c r="E538">
        <v>65993221</v>
      </c>
      <c r="F538">
        <v>65656760</v>
      </c>
      <c r="G538">
        <v>-336461</v>
      </c>
      <c r="H538">
        <v>86.01</v>
      </c>
      <c r="I538">
        <v>640000</v>
      </c>
      <c r="J538" t="s">
        <v>29</v>
      </c>
      <c r="K538">
        <v>62.77</v>
      </c>
      <c r="L538">
        <v>63.41</v>
      </c>
      <c r="M538">
        <v>31846069</v>
      </c>
      <c r="N538">
        <v>31719386</v>
      </c>
      <c r="O538">
        <v>574</v>
      </c>
      <c r="P538">
        <v>574</v>
      </c>
      <c r="Q538">
        <v>6666276</v>
      </c>
      <c r="R538">
        <v>6586621</v>
      </c>
      <c r="S538">
        <v>4729271</v>
      </c>
      <c r="T538">
        <v>4410678</v>
      </c>
      <c r="U538">
        <v>0</v>
      </c>
      <c r="V538">
        <v>0</v>
      </c>
      <c r="W538">
        <v>0</v>
      </c>
      <c r="X538">
        <v>0</v>
      </c>
      <c r="Y538">
        <v>22751031</v>
      </c>
      <c r="Z538">
        <v>22939501</v>
      </c>
      <c r="AA538">
        <f t="shared" si="17"/>
        <v>-79655</v>
      </c>
      <c r="AB538">
        <f t="shared" si="16"/>
        <v>-1.1948950208482216</v>
      </c>
    </row>
    <row r="539" spans="1:28">
      <c r="A539" t="s">
        <v>38</v>
      </c>
      <c r="B539" s="2">
        <v>45170</v>
      </c>
      <c r="C539" s="2">
        <v>45139</v>
      </c>
      <c r="D539" s="2">
        <v>45280</v>
      </c>
      <c r="E539">
        <v>42636974</v>
      </c>
      <c r="F539">
        <v>42575311</v>
      </c>
      <c r="G539">
        <v>-61663</v>
      </c>
      <c r="H539">
        <v>93.99</v>
      </c>
      <c r="I539">
        <v>240000</v>
      </c>
      <c r="J539" t="s">
        <v>29</v>
      </c>
      <c r="K539">
        <v>21.85</v>
      </c>
      <c r="L539">
        <v>22.09</v>
      </c>
      <c r="M539">
        <v>8315122</v>
      </c>
      <c r="N539">
        <v>8353158</v>
      </c>
      <c r="O539">
        <v>113</v>
      </c>
      <c r="P539">
        <v>113</v>
      </c>
      <c r="Q539">
        <v>14113847</v>
      </c>
      <c r="R539">
        <v>14028432</v>
      </c>
      <c r="S539">
        <v>9749302</v>
      </c>
      <c r="T539">
        <v>9652694</v>
      </c>
      <c r="U539">
        <v>0</v>
      </c>
      <c r="V539">
        <v>0</v>
      </c>
      <c r="W539">
        <v>0</v>
      </c>
      <c r="X539">
        <v>0</v>
      </c>
      <c r="Y539">
        <v>10458590</v>
      </c>
      <c r="Z539">
        <v>10540914</v>
      </c>
      <c r="AA539">
        <f t="shared" si="17"/>
        <v>-85415</v>
      </c>
      <c r="AB539">
        <f t="shared" si="16"/>
        <v>-0.60518581503682167</v>
      </c>
    </row>
    <row r="540" spans="1:28">
      <c r="A540" t="s">
        <v>39</v>
      </c>
      <c r="B540" s="2">
        <v>45170</v>
      </c>
      <c r="C540" s="2">
        <v>45139</v>
      </c>
      <c r="D540" s="2">
        <v>45280</v>
      </c>
      <c r="E540">
        <v>23958217</v>
      </c>
      <c r="F540">
        <v>24029543</v>
      </c>
      <c r="G540">
        <v>71326</v>
      </c>
      <c r="H540">
        <v>89.97</v>
      </c>
      <c r="I540">
        <v>190000</v>
      </c>
      <c r="J540" t="s">
        <v>29</v>
      </c>
      <c r="K540">
        <v>16.71</v>
      </c>
      <c r="L540">
        <v>16.899999999999999</v>
      </c>
      <c r="M540">
        <v>5646218</v>
      </c>
      <c r="N540">
        <v>5687333</v>
      </c>
      <c r="O540">
        <v>0</v>
      </c>
      <c r="P540">
        <v>0</v>
      </c>
      <c r="Q540">
        <v>5571836</v>
      </c>
      <c r="R540">
        <v>5566595</v>
      </c>
      <c r="S540">
        <v>2185799</v>
      </c>
      <c r="T540">
        <v>2189565</v>
      </c>
      <c r="U540">
        <v>0</v>
      </c>
      <c r="V540">
        <v>0</v>
      </c>
      <c r="W540">
        <v>0</v>
      </c>
      <c r="X540">
        <v>0</v>
      </c>
      <c r="Y540">
        <v>10554364</v>
      </c>
      <c r="Z540">
        <v>10586050</v>
      </c>
      <c r="AA540">
        <f t="shared" si="17"/>
        <v>-5241</v>
      </c>
      <c r="AB540">
        <f t="shared" si="16"/>
        <v>-9.4062352158247292E-2</v>
      </c>
    </row>
    <row r="541" spans="1:28">
      <c r="A541" t="s">
        <v>40</v>
      </c>
      <c r="B541" s="2">
        <v>45170</v>
      </c>
      <c r="C541" s="2">
        <v>45139</v>
      </c>
      <c r="D541" s="2">
        <v>45280</v>
      </c>
      <c r="E541">
        <v>77506963</v>
      </c>
      <c r="F541">
        <v>77622371</v>
      </c>
      <c r="G541">
        <v>115408</v>
      </c>
      <c r="H541">
        <v>85.31</v>
      </c>
      <c r="I541">
        <v>1090000</v>
      </c>
      <c r="J541" t="s">
        <v>29</v>
      </c>
      <c r="K541">
        <v>67.12</v>
      </c>
      <c r="L541">
        <v>68.209999999999994</v>
      </c>
      <c r="M541">
        <v>15676474</v>
      </c>
      <c r="N541">
        <v>15736984</v>
      </c>
      <c r="O541">
        <v>0</v>
      </c>
      <c r="P541">
        <v>0</v>
      </c>
      <c r="Q541">
        <v>16457711</v>
      </c>
      <c r="R541">
        <v>16249668</v>
      </c>
      <c r="S541">
        <v>5063666</v>
      </c>
      <c r="T541">
        <v>4983465</v>
      </c>
      <c r="U541">
        <v>0</v>
      </c>
      <c r="V541">
        <v>0</v>
      </c>
      <c r="W541">
        <v>0</v>
      </c>
      <c r="X541">
        <v>0</v>
      </c>
      <c r="Y541">
        <v>40309112</v>
      </c>
      <c r="Z541">
        <v>40652254</v>
      </c>
      <c r="AA541">
        <f t="shared" si="17"/>
        <v>-208043</v>
      </c>
      <c r="AB541">
        <f t="shared" si="16"/>
        <v>-1.2641065334055264</v>
      </c>
    </row>
    <row r="542" spans="1:28">
      <c r="A542" t="s">
        <v>41</v>
      </c>
      <c r="B542" s="2">
        <v>45170</v>
      </c>
      <c r="C542" s="2">
        <v>45139</v>
      </c>
      <c r="D542" s="2">
        <v>45280</v>
      </c>
      <c r="E542">
        <v>93020419</v>
      </c>
      <c r="F542">
        <v>93366730</v>
      </c>
      <c r="G542">
        <v>346311</v>
      </c>
      <c r="H542">
        <v>92.68</v>
      </c>
      <c r="I542">
        <v>990000</v>
      </c>
      <c r="J542" t="s">
        <v>29</v>
      </c>
      <c r="K542">
        <v>72.31</v>
      </c>
      <c r="L542">
        <v>73.3</v>
      </c>
      <c r="M542">
        <v>21310359</v>
      </c>
      <c r="N542">
        <v>21314679</v>
      </c>
      <c r="O542">
        <v>0</v>
      </c>
      <c r="P542">
        <v>0</v>
      </c>
      <c r="Q542">
        <v>23434106</v>
      </c>
      <c r="R542">
        <v>23360391</v>
      </c>
      <c r="S542">
        <v>6127418</v>
      </c>
      <c r="T542">
        <v>6143342</v>
      </c>
      <c r="U542">
        <v>0</v>
      </c>
      <c r="V542">
        <v>0</v>
      </c>
      <c r="W542">
        <v>0</v>
      </c>
      <c r="X542">
        <v>0</v>
      </c>
      <c r="Y542">
        <v>42148536</v>
      </c>
      <c r="Z542">
        <v>42548318</v>
      </c>
      <c r="AA542">
        <f t="shared" si="17"/>
        <v>-73715</v>
      </c>
      <c r="AB542">
        <f t="shared" si="16"/>
        <v>-0.31456288539447586</v>
      </c>
    </row>
    <row r="543" spans="1:28">
      <c r="A543" t="s">
        <v>42</v>
      </c>
      <c r="B543" s="2">
        <v>45170</v>
      </c>
      <c r="C543" s="2">
        <v>45139</v>
      </c>
      <c r="D543" s="2">
        <v>45280</v>
      </c>
      <c r="E543">
        <v>33790931</v>
      </c>
      <c r="F543">
        <v>33876129</v>
      </c>
      <c r="G543">
        <v>85198</v>
      </c>
      <c r="H543">
        <v>71.58</v>
      </c>
      <c r="I543">
        <v>270000</v>
      </c>
      <c r="J543" t="s">
        <v>29</v>
      </c>
      <c r="K543">
        <v>31.25</v>
      </c>
      <c r="L543">
        <v>31.52</v>
      </c>
      <c r="M543">
        <v>10011054</v>
      </c>
      <c r="N543">
        <v>9999773</v>
      </c>
      <c r="O543">
        <v>877</v>
      </c>
      <c r="P543">
        <v>877</v>
      </c>
      <c r="Q543">
        <v>11142422</v>
      </c>
      <c r="R543">
        <v>11147788</v>
      </c>
      <c r="S543">
        <v>0</v>
      </c>
      <c r="T543">
        <v>0</v>
      </c>
      <c r="U543">
        <v>0</v>
      </c>
      <c r="V543">
        <v>0</v>
      </c>
      <c r="W543">
        <v>265883</v>
      </c>
      <c r="X543">
        <v>263470</v>
      </c>
      <c r="Y543">
        <v>12370695</v>
      </c>
      <c r="Z543">
        <v>12464221</v>
      </c>
      <c r="AA543">
        <f t="shared" si="17"/>
        <v>5366</v>
      </c>
      <c r="AB543">
        <f t="shared" si="16"/>
        <v>4.8158290899411274E-2</v>
      </c>
    </row>
    <row r="544" spans="1:28">
      <c r="A544" t="s">
        <v>43</v>
      </c>
      <c r="B544" s="2">
        <v>45170</v>
      </c>
      <c r="C544" s="2">
        <v>45139</v>
      </c>
      <c r="D544" s="2">
        <v>45280</v>
      </c>
      <c r="E544">
        <v>12351102</v>
      </c>
      <c r="F544">
        <v>12368141</v>
      </c>
      <c r="G544">
        <v>17039</v>
      </c>
      <c r="H544">
        <v>93.04</v>
      </c>
      <c r="I544">
        <v>30000</v>
      </c>
      <c r="J544" t="s">
        <v>29</v>
      </c>
      <c r="K544">
        <v>2.04</v>
      </c>
      <c r="L544">
        <v>2.0699999999999998</v>
      </c>
      <c r="M544">
        <v>6054529</v>
      </c>
      <c r="N544">
        <v>6114788</v>
      </c>
      <c r="O544">
        <v>0</v>
      </c>
      <c r="P544">
        <v>0</v>
      </c>
      <c r="Q544">
        <v>891990</v>
      </c>
      <c r="R544">
        <v>866774</v>
      </c>
      <c r="S544">
        <v>1270211</v>
      </c>
      <c r="T544">
        <v>1263328</v>
      </c>
      <c r="U544">
        <v>0</v>
      </c>
      <c r="V544">
        <v>0</v>
      </c>
      <c r="W544">
        <v>0</v>
      </c>
      <c r="X544">
        <v>0</v>
      </c>
      <c r="Y544">
        <v>4134372</v>
      </c>
      <c r="Z544">
        <v>4123251</v>
      </c>
      <c r="AA544">
        <f t="shared" si="17"/>
        <v>-25216</v>
      </c>
      <c r="AB544">
        <f t="shared" si="16"/>
        <v>-2.8269375217210957</v>
      </c>
    </row>
    <row r="545" spans="1:28">
      <c r="A545" t="s">
        <v>44</v>
      </c>
      <c r="B545" s="2">
        <v>45170</v>
      </c>
      <c r="C545" s="2">
        <v>45139</v>
      </c>
      <c r="D545" s="2">
        <v>45280</v>
      </c>
      <c r="E545">
        <v>33607998</v>
      </c>
      <c r="F545">
        <v>33207738</v>
      </c>
      <c r="G545">
        <v>-400260</v>
      </c>
      <c r="H545">
        <v>93.22</v>
      </c>
      <c r="I545">
        <v>170000</v>
      </c>
      <c r="J545" t="s">
        <v>29</v>
      </c>
      <c r="K545">
        <v>15.83</v>
      </c>
      <c r="L545">
        <v>16</v>
      </c>
      <c r="M545">
        <v>11445041</v>
      </c>
      <c r="N545">
        <v>11428063</v>
      </c>
      <c r="O545">
        <v>29</v>
      </c>
      <c r="P545">
        <v>29</v>
      </c>
      <c r="Q545">
        <v>1562770</v>
      </c>
      <c r="R545">
        <v>1536700</v>
      </c>
      <c r="S545">
        <v>6212390</v>
      </c>
      <c r="T545">
        <v>5757087</v>
      </c>
      <c r="U545">
        <v>0</v>
      </c>
      <c r="V545">
        <v>0</v>
      </c>
      <c r="W545">
        <v>0</v>
      </c>
      <c r="X545">
        <v>0</v>
      </c>
      <c r="Y545">
        <v>14387768</v>
      </c>
      <c r="Z545">
        <v>14485859</v>
      </c>
      <c r="AA545">
        <f t="shared" si="17"/>
        <v>-26070</v>
      </c>
      <c r="AB545">
        <f t="shared" si="16"/>
        <v>-1.6681917364679384</v>
      </c>
    </row>
    <row r="546" spans="1:28">
      <c r="A546" t="s">
        <v>45</v>
      </c>
      <c r="B546" s="2">
        <v>45170</v>
      </c>
      <c r="C546" s="2">
        <v>45139</v>
      </c>
      <c r="D546" s="2">
        <v>45280</v>
      </c>
      <c r="E546">
        <v>35077707</v>
      </c>
      <c r="F546">
        <v>35007528</v>
      </c>
      <c r="G546">
        <v>-70179</v>
      </c>
      <c r="H546">
        <v>92.81</v>
      </c>
      <c r="I546">
        <v>330000</v>
      </c>
      <c r="J546" t="s">
        <v>29</v>
      </c>
      <c r="K546">
        <v>30.2</v>
      </c>
      <c r="L546">
        <v>30.53</v>
      </c>
      <c r="M546">
        <v>12337792</v>
      </c>
      <c r="N546">
        <v>12398186</v>
      </c>
      <c r="O546">
        <v>106</v>
      </c>
      <c r="P546">
        <v>106</v>
      </c>
      <c r="Q546">
        <v>6779316</v>
      </c>
      <c r="R546">
        <v>6719723</v>
      </c>
      <c r="S546">
        <v>4257440</v>
      </c>
      <c r="T546">
        <v>4138828</v>
      </c>
      <c r="U546">
        <v>0</v>
      </c>
      <c r="V546">
        <v>0</v>
      </c>
      <c r="W546">
        <v>0</v>
      </c>
      <c r="X546">
        <v>0</v>
      </c>
      <c r="Y546">
        <v>11703053</v>
      </c>
      <c r="Z546">
        <v>11750685</v>
      </c>
      <c r="AA546">
        <f t="shared" si="17"/>
        <v>-59593</v>
      </c>
      <c r="AB546">
        <f t="shared" si="16"/>
        <v>-0.87904148442114216</v>
      </c>
    </row>
    <row r="547" spans="1:28">
      <c r="A547" t="s">
        <v>46</v>
      </c>
      <c r="B547" s="2">
        <v>45170</v>
      </c>
      <c r="C547" s="2">
        <v>45139</v>
      </c>
      <c r="D547" s="2">
        <v>45280</v>
      </c>
      <c r="E547">
        <v>64561800</v>
      </c>
      <c r="F547">
        <v>65527721</v>
      </c>
      <c r="G547">
        <v>965921</v>
      </c>
      <c r="H547">
        <v>92.41</v>
      </c>
      <c r="I547">
        <v>720000</v>
      </c>
      <c r="J547" t="s">
        <v>29</v>
      </c>
      <c r="K547">
        <v>61.29</v>
      </c>
      <c r="L547">
        <v>62.01</v>
      </c>
      <c r="M547">
        <v>22991248</v>
      </c>
      <c r="N547">
        <v>22971737</v>
      </c>
      <c r="O547">
        <v>155</v>
      </c>
      <c r="P547">
        <v>155</v>
      </c>
      <c r="Q547">
        <v>10445136</v>
      </c>
      <c r="R547">
        <v>11261139</v>
      </c>
      <c r="S547">
        <v>5568427</v>
      </c>
      <c r="T547">
        <v>5677644</v>
      </c>
      <c r="U547">
        <v>0</v>
      </c>
      <c r="V547">
        <v>0</v>
      </c>
      <c r="W547">
        <v>0</v>
      </c>
      <c r="X547">
        <v>0</v>
      </c>
      <c r="Y547">
        <v>25556834</v>
      </c>
      <c r="Z547">
        <v>25617046</v>
      </c>
      <c r="AA547">
        <f t="shared" si="17"/>
        <v>816003</v>
      </c>
      <c r="AB547">
        <f t="shared" si="16"/>
        <v>7.8122774083554294</v>
      </c>
    </row>
    <row r="548" spans="1:28">
      <c r="A548" t="s">
        <v>47</v>
      </c>
      <c r="B548" s="2">
        <v>45170</v>
      </c>
      <c r="C548" s="2">
        <v>45139</v>
      </c>
      <c r="D548" s="2">
        <v>45280</v>
      </c>
      <c r="E548">
        <v>77310772</v>
      </c>
      <c r="F548">
        <v>77665320</v>
      </c>
      <c r="G548">
        <v>354548</v>
      </c>
      <c r="H548">
        <v>93.66</v>
      </c>
      <c r="I548">
        <v>570000</v>
      </c>
      <c r="J548" t="s">
        <v>29</v>
      </c>
      <c r="K548">
        <v>57.91</v>
      </c>
      <c r="L548">
        <v>58.48</v>
      </c>
      <c r="M548">
        <v>28486784</v>
      </c>
      <c r="N548">
        <v>28716722</v>
      </c>
      <c r="O548">
        <v>238</v>
      </c>
      <c r="P548">
        <v>238</v>
      </c>
      <c r="Q548">
        <v>16268019</v>
      </c>
      <c r="R548">
        <v>16220684</v>
      </c>
      <c r="S548">
        <v>7610751</v>
      </c>
      <c r="T548">
        <v>7579750</v>
      </c>
      <c r="U548">
        <v>158338</v>
      </c>
      <c r="V548">
        <v>165045</v>
      </c>
      <c r="W548">
        <v>0</v>
      </c>
      <c r="X548">
        <v>0</v>
      </c>
      <c r="Y548">
        <v>24786642</v>
      </c>
      <c r="Z548">
        <v>24982881</v>
      </c>
      <c r="AA548">
        <f t="shared" si="17"/>
        <v>-47335</v>
      </c>
      <c r="AB548">
        <f t="shared" si="16"/>
        <v>-0.2909696626245642</v>
      </c>
    </row>
    <row r="549" spans="1:28">
      <c r="A549" t="s">
        <v>48</v>
      </c>
      <c r="B549" s="2">
        <v>45170</v>
      </c>
      <c r="C549" s="2">
        <v>45139</v>
      </c>
      <c r="D549" s="2">
        <v>45280</v>
      </c>
      <c r="E549">
        <v>100407189</v>
      </c>
      <c r="F549">
        <v>100342823</v>
      </c>
      <c r="G549">
        <v>-64366</v>
      </c>
      <c r="H549">
        <v>86.59</v>
      </c>
      <c r="I549">
        <v>1750000</v>
      </c>
      <c r="J549" t="s">
        <v>29</v>
      </c>
      <c r="K549">
        <v>78.540000000000006</v>
      </c>
      <c r="L549">
        <v>80.290000000000006</v>
      </c>
      <c r="M549">
        <v>36784488</v>
      </c>
      <c r="N549">
        <v>36872197</v>
      </c>
      <c r="O549">
        <v>0</v>
      </c>
      <c r="P549">
        <v>0</v>
      </c>
      <c r="Q549">
        <v>18090106</v>
      </c>
      <c r="R549">
        <v>17911800</v>
      </c>
      <c r="S549">
        <v>8496815</v>
      </c>
      <c r="T549">
        <v>8096415</v>
      </c>
      <c r="U549">
        <v>0</v>
      </c>
      <c r="V549">
        <v>0</v>
      </c>
      <c r="W549">
        <v>0</v>
      </c>
      <c r="X549">
        <v>0</v>
      </c>
      <c r="Y549">
        <v>37035780</v>
      </c>
      <c r="Z549">
        <v>37462411</v>
      </c>
      <c r="AA549">
        <f t="shared" si="17"/>
        <v>-178306</v>
      </c>
      <c r="AB549">
        <f t="shared" si="16"/>
        <v>-0.98565481042510206</v>
      </c>
    </row>
    <row r="550" spans="1:28">
      <c r="A550" t="s">
        <v>49</v>
      </c>
      <c r="B550" s="2">
        <v>45170</v>
      </c>
      <c r="C550" s="2">
        <v>45139</v>
      </c>
      <c r="D550" s="2">
        <v>45280</v>
      </c>
      <c r="E550">
        <v>62450326</v>
      </c>
      <c r="F550">
        <v>62313815</v>
      </c>
      <c r="G550">
        <v>-136511</v>
      </c>
      <c r="H550">
        <v>89.22</v>
      </c>
      <c r="I550">
        <v>1220000</v>
      </c>
      <c r="J550" t="s">
        <v>29</v>
      </c>
      <c r="K550">
        <v>60.76</v>
      </c>
      <c r="L550">
        <v>61.98</v>
      </c>
      <c r="M550">
        <v>18197362</v>
      </c>
      <c r="N550">
        <v>18300702</v>
      </c>
      <c r="O550">
        <v>8</v>
      </c>
      <c r="P550">
        <v>8</v>
      </c>
      <c r="Q550">
        <v>16036276</v>
      </c>
      <c r="R550">
        <v>15896482</v>
      </c>
      <c r="S550">
        <v>5267948</v>
      </c>
      <c r="T550">
        <v>4957432</v>
      </c>
      <c r="U550">
        <v>0</v>
      </c>
      <c r="V550">
        <v>0</v>
      </c>
      <c r="W550">
        <v>0</v>
      </c>
      <c r="X550">
        <v>0</v>
      </c>
      <c r="Y550">
        <v>22948732</v>
      </c>
      <c r="Z550">
        <v>23159191</v>
      </c>
      <c r="AA550">
        <f t="shared" si="17"/>
        <v>-139794</v>
      </c>
      <c r="AB550">
        <f t="shared" si="16"/>
        <v>-0.871736056426068</v>
      </c>
    </row>
    <row r="551" spans="1:28">
      <c r="A551" t="s">
        <v>50</v>
      </c>
      <c r="B551" s="2">
        <v>45170</v>
      </c>
      <c r="C551" s="2">
        <v>45139</v>
      </c>
      <c r="D551" s="2">
        <v>45280</v>
      </c>
      <c r="E551">
        <v>56624446</v>
      </c>
      <c r="F551">
        <v>56921593</v>
      </c>
      <c r="G551">
        <v>297147</v>
      </c>
      <c r="H551">
        <v>93.24</v>
      </c>
      <c r="I551">
        <v>930000</v>
      </c>
      <c r="J551" t="s">
        <v>29</v>
      </c>
      <c r="K551">
        <v>48.47</v>
      </c>
      <c r="L551">
        <v>49.4</v>
      </c>
      <c r="M551">
        <v>17265294</v>
      </c>
      <c r="N551">
        <v>17467498</v>
      </c>
      <c r="O551">
        <v>115</v>
      </c>
      <c r="P551">
        <v>115</v>
      </c>
      <c r="Q551">
        <v>13840488</v>
      </c>
      <c r="R551">
        <v>13734392</v>
      </c>
      <c r="S551">
        <v>2380414</v>
      </c>
      <c r="T551">
        <v>2376102</v>
      </c>
      <c r="U551">
        <v>0</v>
      </c>
      <c r="V551">
        <v>0</v>
      </c>
      <c r="W551">
        <v>0</v>
      </c>
      <c r="X551">
        <v>0</v>
      </c>
      <c r="Y551">
        <v>23138135</v>
      </c>
      <c r="Z551">
        <v>23343486</v>
      </c>
      <c r="AA551">
        <f t="shared" si="17"/>
        <v>-106096</v>
      </c>
      <c r="AB551">
        <f t="shared" si="16"/>
        <v>-0.76656256629101516</v>
      </c>
    </row>
    <row r="552" spans="1:28">
      <c r="A552" t="s">
        <v>28</v>
      </c>
      <c r="B552" s="2">
        <v>45200</v>
      </c>
      <c r="C552" s="2">
        <v>45170</v>
      </c>
      <c r="D552" s="2">
        <v>45294</v>
      </c>
      <c r="E552">
        <v>82173782</v>
      </c>
      <c r="F552">
        <v>82346886</v>
      </c>
      <c r="G552">
        <v>173104</v>
      </c>
      <c r="H552">
        <v>95.03</v>
      </c>
      <c r="I552">
        <v>600000</v>
      </c>
      <c r="J552" t="s">
        <v>29</v>
      </c>
      <c r="K552">
        <v>61.63</v>
      </c>
      <c r="L552">
        <v>62.23</v>
      </c>
      <c r="M552">
        <v>33157725</v>
      </c>
      <c r="N552">
        <v>33228319</v>
      </c>
      <c r="O552">
        <v>0</v>
      </c>
      <c r="P552">
        <v>0</v>
      </c>
      <c r="Q552">
        <v>11007032</v>
      </c>
      <c r="R552">
        <v>10910051</v>
      </c>
      <c r="S552">
        <v>6631388</v>
      </c>
      <c r="T552">
        <v>6528946</v>
      </c>
      <c r="U552">
        <v>0</v>
      </c>
      <c r="V552">
        <v>0</v>
      </c>
      <c r="W552">
        <v>0</v>
      </c>
      <c r="X552">
        <v>0</v>
      </c>
      <c r="Y552">
        <v>31377637</v>
      </c>
      <c r="Z552">
        <v>31679570</v>
      </c>
      <c r="AA552">
        <f t="shared" si="17"/>
        <v>-96981</v>
      </c>
      <c r="AB552">
        <f t="shared" si="16"/>
        <v>-0.88108220272276849</v>
      </c>
    </row>
    <row r="553" spans="1:28">
      <c r="A553" t="s">
        <v>30</v>
      </c>
      <c r="B553" s="2">
        <v>45200</v>
      </c>
      <c r="C553" s="2">
        <v>45170</v>
      </c>
      <c r="D553" s="2">
        <v>45294</v>
      </c>
      <c r="E553">
        <v>25512439</v>
      </c>
      <c r="F553">
        <v>25627543</v>
      </c>
      <c r="G553">
        <v>115104</v>
      </c>
      <c r="H553">
        <v>92.36</v>
      </c>
      <c r="I553">
        <v>100000</v>
      </c>
      <c r="J553" t="s">
        <v>29</v>
      </c>
      <c r="K553">
        <v>6.34</v>
      </c>
      <c r="L553">
        <v>6.44</v>
      </c>
      <c r="M553">
        <v>11475925</v>
      </c>
      <c r="N553">
        <v>11540572</v>
      </c>
      <c r="O553">
        <v>0</v>
      </c>
      <c r="P553">
        <v>0</v>
      </c>
      <c r="Q553">
        <v>1803134</v>
      </c>
      <c r="R553">
        <v>1773143</v>
      </c>
      <c r="S553">
        <v>3192009</v>
      </c>
      <c r="T553">
        <v>3186369</v>
      </c>
      <c r="U553">
        <v>0</v>
      </c>
      <c r="V553">
        <v>0</v>
      </c>
      <c r="W553">
        <v>0</v>
      </c>
      <c r="X553">
        <v>0</v>
      </c>
      <c r="Y553">
        <v>9041371</v>
      </c>
      <c r="Z553">
        <v>9127459</v>
      </c>
      <c r="AA553">
        <f t="shared" si="17"/>
        <v>-29991</v>
      </c>
      <c r="AB553">
        <f t="shared" si="16"/>
        <v>-1.6632707275221918</v>
      </c>
    </row>
    <row r="554" spans="1:28">
      <c r="A554" t="s">
        <v>31</v>
      </c>
      <c r="B554" s="2">
        <v>45200</v>
      </c>
      <c r="C554" s="2">
        <v>45170</v>
      </c>
      <c r="D554" s="2">
        <v>45294</v>
      </c>
      <c r="E554">
        <v>93044363</v>
      </c>
      <c r="F554">
        <v>93110313</v>
      </c>
      <c r="G554">
        <v>65950</v>
      </c>
      <c r="H554">
        <v>84.41</v>
      </c>
      <c r="I554">
        <v>900000</v>
      </c>
      <c r="J554" t="s">
        <v>29</v>
      </c>
      <c r="K554">
        <v>48.06</v>
      </c>
      <c r="L554">
        <v>48.96</v>
      </c>
      <c r="M554">
        <v>40649017</v>
      </c>
      <c r="N554">
        <v>40673476</v>
      </c>
      <c r="O554">
        <v>0</v>
      </c>
      <c r="P554">
        <v>0</v>
      </c>
      <c r="Q554">
        <v>7840736</v>
      </c>
      <c r="R554">
        <v>7760256</v>
      </c>
      <c r="S554">
        <v>5397055</v>
      </c>
      <c r="T554">
        <v>5407684</v>
      </c>
      <c r="U554">
        <v>0</v>
      </c>
      <c r="V554">
        <v>0</v>
      </c>
      <c r="W554">
        <v>0</v>
      </c>
      <c r="X554">
        <v>0</v>
      </c>
      <c r="Y554">
        <v>39157555</v>
      </c>
      <c r="Z554">
        <v>39268897</v>
      </c>
      <c r="AA554">
        <f t="shared" si="17"/>
        <v>-80480</v>
      </c>
      <c r="AB554">
        <f t="shared" si="16"/>
        <v>-1.0264342531109325</v>
      </c>
    </row>
    <row r="555" spans="1:28">
      <c r="A555" t="s">
        <v>32</v>
      </c>
      <c r="B555" s="2">
        <v>45200</v>
      </c>
      <c r="C555" s="2">
        <v>45170</v>
      </c>
      <c r="D555" s="2">
        <v>45294</v>
      </c>
      <c r="E555">
        <v>55392989</v>
      </c>
      <c r="F555">
        <v>55528364</v>
      </c>
      <c r="G555">
        <v>135375</v>
      </c>
      <c r="H555">
        <v>62.05</v>
      </c>
      <c r="I555">
        <v>640000</v>
      </c>
      <c r="J555" t="s">
        <v>29</v>
      </c>
      <c r="K555">
        <v>42.72</v>
      </c>
      <c r="L555">
        <v>43.36</v>
      </c>
      <c r="M555">
        <v>17633421</v>
      </c>
      <c r="N555">
        <v>17733883</v>
      </c>
      <c r="O555">
        <v>23</v>
      </c>
      <c r="P555">
        <v>23</v>
      </c>
      <c r="Q555">
        <v>16583934</v>
      </c>
      <c r="R555">
        <v>16502307</v>
      </c>
      <c r="S555">
        <v>0</v>
      </c>
      <c r="T555">
        <v>0</v>
      </c>
      <c r="U555">
        <v>0</v>
      </c>
      <c r="V555">
        <v>0</v>
      </c>
      <c r="W555">
        <v>1688013</v>
      </c>
      <c r="X555">
        <v>1687496</v>
      </c>
      <c r="Y555">
        <v>19487598</v>
      </c>
      <c r="Z555">
        <v>19604655</v>
      </c>
      <c r="AA555">
        <f t="shared" si="17"/>
        <v>-81627</v>
      </c>
      <c r="AB555">
        <f t="shared" si="16"/>
        <v>-0.49220528735823477</v>
      </c>
    </row>
    <row r="556" spans="1:28">
      <c r="A556" t="s">
        <v>33</v>
      </c>
      <c r="B556" s="2">
        <v>45200</v>
      </c>
      <c r="C556" s="2">
        <v>45170</v>
      </c>
      <c r="D556" s="2">
        <v>45294</v>
      </c>
      <c r="E556">
        <v>66028060</v>
      </c>
      <c r="F556">
        <v>65744452</v>
      </c>
      <c r="G556">
        <v>-283608</v>
      </c>
      <c r="H556">
        <v>93.21</v>
      </c>
      <c r="I556">
        <v>910000</v>
      </c>
      <c r="J556" t="s">
        <v>29</v>
      </c>
      <c r="K556">
        <v>60.71</v>
      </c>
      <c r="L556">
        <v>61.62</v>
      </c>
      <c r="M556">
        <v>11575256</v>
      </c>
      <c r="N556">
        <v>11507371</v>
      </c>
      <c r="O556">
        <v>43</v>
      </c>
      <c r="P556">
        <v>43</v>
      </c>
      <c r="Q556">
        <v>21512053</v>
      </c>
      <c r="R556">
        <v>21198361</v>
      </c>
      <c r="S556">
        <v>4416610</v>
      </c>
      <c r="T556">
        <v>4409497</v>
      </c>
      <c r="U556">
        <v>0</v>
      </c>
      <c r="V556">
        <v>0</v>
      </c>
      <c r="W556">
        <v>0</v>
      </c>
      <c r="X556">
        <v>0</v>
      </c>
      <c r="Y556">
        <v>28524098</v>
      </c>
      <c r="Z556">
        <v>28629180</v>
      </c>
      <c r="AA556">
        <f t="shared" si="17"/>
        <v>-313692</v>
      </c>
      <c r="AB556">
        <f t="shared" si="16"/>
        <v>-1.4582150759855417</v>
      </c>
    </row>
    <row r="557" spans="1:28">
      <c r="A557" t="s">
        <v>34</v>
      </c>
      <c r="B557" s="2">
        <v>45200</v>
      </c>
      <c r="C557" s="2">
        <v>45170</v>
      </c>
      <c r="D557" s="2">
        <v>45294</v>
      </c>
      <c r="E557">
        <v>26339474</v>
      </c>
      <c r="F557">
        <v>26427001</v>
      </c>
      <c r="G557">
        <v>87527</v>
      </c>
      <c r="H557">
        <v>92.39</v>
      </c>
      <c r="I557">
        <v>370000</v>
      </c>
      <c r="J557" t="s">
        <v>29</v>
      </c>
      <c r="K557">
        <v>28.43</v>
      </c>
      <c r="L557">
        <v>28.8</v>
      </c>
      <c r="M557">
        <v>6710871</v>
      </c>
      <c r="N557">
        <v>6762479</v>
      </c>
      <c r="O557">
        <v>11</v>
      </c>
      <c r="P557">
        <v>11</v>
      </c>
      <c r="Q557">
        <v>6979837</v>
      </c>
      <c r="R557">
        <v>6920434</v>
      </c>
      <c r="S557">
        <v>4212788</v>
      </c>
      <c r="T557">
        <v>4249899</v>
      </c>
      <c r="U557">
        <v>0</v>
      </c>
      <c r="V557">
        <v>0</v>
      </c>
      <c r="W557">
        <v>0</v>
      </c>
      <c r="X557">
        <v>0</v>
      </c>
      <c r="Y557">
        <v>8435967</v>
      </c>
      <c r="Z557">
        <v>8494178</v>
      </c>
      <c r="AA557">
        <f t="shared" si="17"/>
        <v>-59403</v>
      </c>
      <c r="AB557">
        <f t="shared" si="16"/>
        <v>-0.85106571972955825</v>
      </c>
    </row>
    <row r="558" spans="1:28">
      <c r="A558" t="s">
        <v>35</v>
      </c>
      <c r="B558" s="2">
        <v>45200</v>
      </c>
      <c r="C558" s="2">
        <v>45170</v>
      </c>
      <c r="D558" s="2">
        <v>45294</v>
      </c>
      <c r="E558">
        <v>8914013</v>
      </c>
      <c r="F558">
        <v>8853570</v>
      </c>
      <c r="G558">
        <v>-60443</v>
      </c>
      <c r="H558">
        <v>109.17</v>
      </c>
      <c r="I558">
        <v>40000</v>
      </c>
      <c r="J558" t="s">
        <v>29</v>
      </c>
      <c r="K558">
        <v>3.88</v>
      </c>
      <c r="L558">
        <v>3.92</v>
      </c>
      <c r="M558">
        <v>3564011</v>
      </c>
      <c r="N558">
        <v>3555543</v>
      </c>
      <c r="O558">
        <v>92</v>
      </c>
      <c r="P558">
        <v>92</v>
      </c>
      <c r="Q558">
        <v>412534</v>
      </c>
      <c r="R558">
        <v>408440</v>
      </c>
      <c r="S558">
        <v>1603113</v>
      </c>
      <c r="T558">
        <v>1541724</v>
      </c>
      <c r="U558">
        <v>0</v>
      </c>
      <c r="V558">
        <v>0</v>
      </c>
      <c r="W558">
        <v>0</v>
      </c>
      <c r="X558">
        <v>0</v>
      </c>
      <c r="Y558">
        <v>3334263</v>
      </c>
      <c r="Z558">
        <v>3347771</v>
      </c>
      <c r="AA558">
        <f t="shared" si="17"/>
        <v>-4094</v>
      </c>
      <c r="AB558">
        <f t="shared" si="16"/>
        <v>-0.99240305041523846</v>
      </c>
    </row>
    <row r="559" spans="1:28">
      <c r="A559" t="s">
        <v>36</v>
      </c>
      <c r="B559" s="2">
        <v>45200</v>
      </c>
      <c r="C559" s="2">
        <v>45170</v>
      </c>
      <c r="D559" s="2">
        <v>45294</v>
      </c>
      <c r="E559">
        <v>12264055</v>
      </c>
      <c r="F559">
        <v>12247466</v>
      </c>
      <c r="G559">
        <v>-16589</v>
      </c>
      <c r="H559">
        <v>87.43</v>
      </c>
      <c r="I559">
        <v>40000</v>
      </c>
      <c r="J559" t="s">
        <v>29</v>
      </c>
      <c r="K559">
        <v>2.14</v>
      </c>
      <c r="L559">
        <v>2.1800000000000002</v>
      </c>
      <c r="M559">
        <v>5933139</v>
      </c>
      <c r="N559">
        <v>5929524</v>
      </c>
      <c r="O559">
        <v>0</v>
      </c>
      <c r="P559">
        <v>0</v>
      </c>
      <c r="Q559">
        <v>308207</v>
      </c>
      <c r="R559">
        <v>304916</v>
      </c>
      <c r="S559">
        <v>826820</v>
      </c>
      <c r="T559">
        <v>819143</v>
      </c>
      <c r="U559">
        <v>0</v>
      </c>
      <c r="V559">
        <v>0</v>
      </c>
      <c r="W559">
        <v>0</v>
      </c>
      <c r="X559">
        <v>0</v>
      </c>
      <c r="Y559">
        <v>5195889</v>
      </c>
      <c r="Z559">
        <v>5193883</v>
      </c>
      <c r="AA559">
        <f t="shared" si="17"/>
        <v>-3291</v>
      </c>
      <c r="AB559">
        <f t="shared" si="16"/>
        <v>-1.0677888561908069</v>
      </c>
    </row>
    <row r="560" spans="1:28">
      <c r="A560" t="s">
        <v>37</v>
      </c>
      <c r="B560" s="2">
        <v>45200</v>
      </c>
      <c r="C560" s="2">
        <v>45170</v>
      </c>
      <c r="D560" s="2">
        <v>45294</v>
      </c>
      <c r="E560">
        <v>65656760</v>
      </c>
      <c r="F560">
        <v>65719715</v>
      </c>
      <c r="G560">
        <v>62955</v>
      </c>
      <c r="H560">
        <v>85.04</v>
      </c>
      <c r="I560">
        <v>620000</v>
      </c>
      <c r="J560" t="s">
        <v>29</v>
      </c>
      <c r="K560">
        <v>63.41</v>
      </c>
      <c r="L560">
        <v>64.03</v>
      </c>
      <c r="M560">
        <v>31719386</v>
      </c>
      <c r="N560">
        <v>31673762</v>
      </c>
      <c r="O560">
        <v>574</v>
      </c>
      <c r="P560">
        <v>574</v>
      </c>
      <c r="Q560">
        <v>6586621</v>
      </c>
      <c r="R560">
        <v>6608091</v>
      </c>
      <c r="S560">
        <v>4410678</v>
      </c>
      <c r="T560">
        <v>4324722</v>
      </c>
      <c r="U560">
        <v>0</v>
      </c>
      <c r="V560">
        <v>0</v>
      </c>
      <c r="W560">
        <v>0</v>
      </c>
      <c r="X560">
        <v>0</v>
      </c>
      <c r="Y560">
        <v>22939501</v>
      </c>
      <c r="Z560">
        <v>23112566</v>
      </c>
      <c r="AA560">
        <f t="shared" si="17"/>
        <v>21470</v>
      </c>
      <c r="AB560">
        <f t="shared" si="16"/>
        <v>0.32596379843321788</v>
      </c>
    </row>
    <row r="561" spans="1:28">
      <c r="A561" t="s">
        <v>38</v>
      </c>
      <c r="B561" s="2">
        <v>45200</v>
      </c>
      <c r="C561" s="2">
        <v>45170</v>
      </c>
      <c r="D561" s="2">
        <v>45294</v>
      </c>
      <c r="E561">
        <v>42575311</v>
      </c>
      <c r="F561">
        <v>42405394</v>
      </c>
      <c r="G561">
        <v>-169917</v>
      </c>
      <c r="H561">
        <v>94.45</v>
      </c>
      <c r="I561">
        <v>240000</v>
      </c>
      <c r="J561" t="s">
        <v>29</v>
      </c>
      <c r="K561">
        <v>22.09</v>
      </c>
      <c r="L561">
        <v>22.33</v>
      </c>
      <c r="M561">
        <v>8353158</v>
      </c>
      <c r="N561">
        <v>8359487</v>
      </c>
      <c r="O561">
        <v>113</v>
      </c>
      <c r="P561">
        <v>113</v>
      </c>
      <c r="Q561">
        <v>14028432</v>
      </c>
      <c r="R561">
        <v>13826281</v>
      </c>
      <c r="S561">
        <v>9652694</v>
      </c>
      <c r="T561">
        <v>9569307</v>
      </c>
      <c r="U561">
        <v>0</v>
      </c>
      <c r="V561">
        <v>0</v>
      </c>
      <c r="W561">
        <v>0</v>
      </c>
      <c r="X561">
        <v>0</v>
      </c>
      <c r="Y561">
        <v>10540914</v>
      </c>
      <c r="Z561">
        <v>10650206</v>
      </c>
      <c r="AA561">
        <f t="shared" si="17"/>
        <v>-202151</v>
      </c>
      <c r="AB561">
        <f t="shared" si="16"/>
        <v>-1.441009230397239</v>
      </c>
    </row>
    <row r="562" spans="1:28">
      <c r="A562" t="s">
        <v>39</v>
      </c>
      <c r="B562" s="2">
        <v>45200</v>
      </c>
      <c r="C562" s="2">
        <v>45170</v>
      </c>
      <c r="D562" s="2">
        <v>45294</v>
      </c>
      <c r="E562">
        <v>24029543</v>
      </c>
      <c r="F562">
        <v>23901335</v>
      </c>
      <c r="G562">
        <v>-128208</v>
      </c>
      <c r="H562">
        <v>98.98</v>
      </c>
      <c r="I562">
        <v>160000</v>
      </c>
      <c r="J562" t="s">
        <v>29</v>
      </c>
      <c r="K562">
        <v>16.899999999999999</v>
      </c>
      <c r="L562">
        <v>17.059999999999999</v>
      </c>
      <c r="M562">
        <v>5687333</v>
      </c>
      <c r="N562">
        <v>5685327</v>
      </c>
      <c r="O562">
        <v>0</v>
      </c>
      <c r="P562">
        <v>0</v>
      </c>
      <c r="Q562">
        <v>5566595</v>
      </c>
      <c r="R562">
        <v>5422060</v>
      </c>
      <c r="S562">
        <v>2189565</v>
      </c>
      <c r="T562">
        <v>2162466</v>
      </c>
      <c r="U562">
        <v>0</v>
      </c>
      <c r="V562">
        <v>0</v>
      </c>
      <c r="W562">
        <v>0</v>
      </c>
      <c r="X562">
        <v>0</v>
      </c>
      <c r="Y562">
        <v>10586050</v>
      </c>
      <c r="Z562">
        <v>10631482</v>
      </c>
      <c r="AA562">
        <f t="shared" si="17"/>
        <v>-144535</v>
      </c>
      <c r="AB562">
        <f t="shared" si="16"/>
        <v>-2.5964705533634116</v>
      </c>
    </row>
    <row r="563" spans="1:28">
      <c r="A563" t="s">
        <v>40</v>
      </c>
      <c r="B563" s="2">
        <v>45200</v>
      </c>
      <c r="C563" s="2">
        <v>45170</v>
      </c>
      <c r="D563" s="2">
        <v>45294</v>
      </c>
      <c r="E563">
        <v>77622371</v>
      </c>
      <c r="F563">
        <v>77701469</v>
      </c>
      <c r="G563">
        <v>79098</v>
      </c>
      <c r="H563">
        <v>84.93</v>
      </c>
      <c r="I563">
        <v>1020000</v>
      </c>
      <c r="J563" t="s">
        <v>29</v>
      </c>
      <c r="K563">
        <v>68.209999999999994</v>
      </c>
      <c r="L563">
        <v>69.23</v>
      </c>
      <c r="M563">
        <v>15736984</v>
      </c>
      <c r="N563">
        <v>15749108</v>
      </c>
      <c r="O563">
        <v>0</v>
      </c>
      <c r="P563">
        <v>0</v>
      </c>
      <c r="Q563">
        <v>16249668</v>
      </c>
      <c r="R563">
        <v>16056589</v>
      </c>
      <c r="S563">
        <v>4983465</v>
      </c>
      <c r="T563">
        <v>4931282</v>
      </c>
      <c r="U563">
        <v>0</v>
      </c>
      <c r="V563">
        <v>0</v>
      </c>
      <c r="W563">
        <v>0</v>
      </c>
      <c r="X563">
        <v>0</v>
      </c>
      <c r="Y563">
        <v>40652254</v>
      </c>
      <c r="Z563">
        <v>40964490</v>
      </c>
      <c r="AA563">
        <f t="shared" si="17"/>
        <v>-193079</v>
      </c>
      <c r="AB563">
        <f t="shared" si="16"/>
        <v>-1.1882027374343895</v>
      </c>
    </row>
    <row r="564" spans="1:28">
      <c r="A564" t="s">
        <v>41</v>
      </c>
      <c r="B564" s="2">
        <v>45200</v>
      </c>
      <c r="C564" s="2">
        <v>45170</v>
      </c>
      <c r="D564" s="2">
        <v>45294</v>
      </c>
      <c r="E564">
        <v>93366730</v>
      </c>
      <c r="F564">
        <v>93471561</v>
      </c>
      <c r="G564">
        <v>104831</v>
      </c>
      <c r="H564">
        <v>91.86</v>
      </c>
      <c r="I564">
        <v>1020000</v>
      </c>
      <c r="J564" t="s">
        <v>29</v>
      </c>
      <c r="K564">
        <v>73.3</v>
      </c>
      <c r="L564">
        <v>74.319999999999993</v>
      </c>
      <c r="M564">
        <v>21314679</v>
      </c>
      <c r="N564">
        <v>21285075</v>
      </c>
      <c r="O564">
        <v>0</v>
      </c>
      <c r="P564">
        <v>0</v>
      </c>
      <c r="Q564">
        <v>23360391</v>
      </c>
      <c r="R564">
        <v>23253124</v>
      </c>
      <c r="S564">
        <v>6143342</v>
      </c>
      <c r="T564">
        <v>6002034</v>
      </c>
      <c r="U564">
        <v>0</v>
      </c>
      <c r="V564">
        <v>0</v>
      </c>
      <c r="W564">
        <v>0</v>
      </c>
      <c r="X564">
        <v>0</v>
      </c>
      <c r="Y564">
        <v>42548318</v>
      </c>
      <c r="Z564">
        <v>42931328</v>
      </c>
      <c r="AA564">
        <f t="shared" si="17"/>
        <v>-107267</v>
      </c>
      <c r="AB564">
        <f t="shared" si="16"/>
        <v>-0.45918323884219236</v>
      </c>
    </row>
    <row r="565" spans="1:28">
      <c r="A565" t="s">
        <v>42</v>
      </c>
      <c r="B565" s="2">
        <v>45200</v>
      </c>
      <c r="C565" s="2">
        <v>45170</v>
      </c>
      <c r="D565" s="2">
        <v>45294</v>
      </c>
      <c r="E565">
        <v>33876129</v>
      </c>
      <c r="F565">
        <v>34018397</v>
      </c>
      <c r="G565">
        <v>142268</v>
      </c>
      <c r="H565">
        <v>70.75</v>
      </c>
      <c r="I565">
        <v>280000</v>
      </c>
      <c r="J565" t="s">
        <v>29</v>
      </c>
      <c r="K565">
        <v>31.52</v>
      </c>
      <c r="L565">
        <v>31.8</v>
      </c>
      <c r="M565">
        <v>9999773</v>
      </c>
      <c r="N565">
        <v>9930689</v>
      </c>
      <c r="O565">
        <v>877</v>
      </c>
      <c r="P565">
        <v>877</v>
      </c>
      <c r="Q565">
        <v>11147788</v>
      </c>
      <c r="R565">
        <v>11210893</v>
      </c>
      <c r="S565">
        <v>0</v>
      </c>
      <c r="T565">
        <v>0</v>
      </c>
      <c r="U565">
        <v>0</v>
      </c>
      <c r="V565">
        <v>0</v>
      </c>
      <c r="W565">
        <v>263470</v>
      </c>
      <c r="X565">
        <v>259892</v>
      </c>
      <c r="Y565">
        <v>12464221</v>
      </c>
      <c r="Z565">
        <v>12616046</v>
      </c>
      <c r="AA565">
        <f t="shared" si="17"/>
        <v>63105</v>
      </c>
      <c r="AB565">
        <f t="shared" si="16"/>
        <v>0.56607642700058525</v>
      </c>
    </row>
    <row r="566" spans="1:28">
      <c r="A566" t="s">
        <v>43</v>
      </c>
      <c r="B566" s="2">
        <v>45200</v>
      </c>
      <c r="C566" s="2">
        <v>45170</v>
      </c>
      <c r="D566" s="2">
        <v>45294</v>
      </c>
      <c r="E566">
        <v>12368141</v>
      </c>
      <c r="F566">
        <v>12363852</v>
      </c>
      <c r="G566">
        <v>-4289</v>
      </c>
      <c r="H566">
        <v>94.25</v>
      </c>
      <c r="I566">
        <v>20000</v>
      </c>
      <c r="J566" t="s">
        <v>29</v>
      </c>
      <c r="K566">
        <v>2.0699999999999998</v>
      </c>
      <c r="L566">
        <v>2.09</v>
      </c>
      <c r="M566">
        <v>6114788</v>
      </c>
      <c r="N566">
        <v>6122437</v>
      </c>
      <c r="O566">
        <v>0</v>
      </c>
      <c r="P566">
        <v>0</v>
      </c>
      <c r="Q566">
        <v>866774</v>
      </c>
      <c r="R566">
        <v>846756</v>
      </c>
      <c r="S566">
        <v>1263328</v>
      </c>
      <c r="T566">
        <v>1254836</v>
      </c>
      <c r="U566">
        <v>0</v>
      </c>
      <c r="V566">
        <v>0</v>
      </c>
      <c r="W566">
        <v>0</v>
      </c>
      <c r="X566">
        <v>0</v>
      </c>
      <c r="Y566">
        <v>4123251</v>
      </c>
      <c r="Z566">
        <v>4139823</v>
      </c>
      <c r="AA566">
        <f t="shared" si="17"/>
        <v>-20018</v>
      </c>
      <c r="AB566">
        <f t="shared" si="16"/>
        <v>-2.3094832101562806</v>
      </c>
    </row>
    <row r="567" spans="1:28">
      <c r="A567" t="s">
        <v>44</v>
      </c>
      <c r="B567" s="2">
        <v>45200</v>
      </c>
      <c r="C567" s="2">
        <v>45170</v>
      </c>
      <c r="D567" s="2">
        <v>45294</v>
      </c>
      <c r="E567">
        <v>33207738</v>
      </c>
      <c r="F567">
        <v>33356854</v>
      </c>
      <c r="G567">
        <v>149116</v>
      </c>
      <c r="H567">
        <v>92.81</v>
      </c>
      <c r="I567">
        <v>190000</v>
      </c>
      <c r="J567" t="s">
        <v>29</v>
      </c>
      <c r="K567">
        <v>16</v>
      </c>
      <c r="L567">
        <v>16.190000000000001</v>
      </c>
      <c r="M567">
        <v>11428063</v>
      </c>
      <c r="N567">
        <v>11422859</v>
      </c>
      <c r="O567">
        <v>29</v>
      </c>
      <c r="P567">
        <v>29</v>
      </c>
      <c r="Q567">
        <v>1536700</v>
      </c>
      <c r="R567">
        <v>1524537</v>
      </c>
      <c r="S567">
        <v>5757087</v>
      </c>
      <c r="T567">
        <v>5735155</v>
      </c>
      <c r="U567">
        <v>0</v>
      </c>
      <c r="V567">
        <v>0</v>
      </c>
      <c r="W567">
        <v>0</v>
      </c>
      <c r="X567">
        <v>0</v>
      </c>
      <c r="Y567">
        <v>14485859</v>
      </c>
      <c r="Z567">
        <v>14674274</v>
      </c>
      <c r="AA567">
        <f t="shared" si="17"/>
        <v>-12163</v>
      </c>
      <c r="AB567">
        <f t="shared" si="16"/>
        <v>-0.79150126895295103</v>
      </c>
    </row>
    <row r="568" spans="1:28">
      <c r="A568" t="s">
        <v>45</v>
      </c>
      <c r="B568" s="2">
        <v>45200</v>
      </c>
      <c r="C568" s="2">
        <v>45170</v>
      </c>
      <c r="D568" s="2">
        <v>45294</v>
      </c>
      <c r="E568">
        <v>35007528</v>
      </c>
      <c r="F568">
        <v>34887206</v>
      </c>
      <c r="G568">
        <v>-120322</v>
      </c>
      <c r="H568">
        <v>93.94</v>
      </c>
      <c r="I568">
        <v>330000</v>
      </c>
      <c r="J568" t="s">
        <v>29</v>
      </c>
      <c r="K568">
        <v>30.53</v>
      </c>
      <c r="L568">
        <v>30.86</v>
      </c>
      <c r="M568">
        <v>12398186</v>
      </c>
      <c r="N568">
        <v>12439668</v>
      </c>
      <c r="O568">
        <v>106</v>
      </c>
      <c r="P568">
        <v>106</v>
      </c>
      <c r="Q568">
        <v>6719723</v>
      </c>
      <c r="R568">
        <v>6595841</v>
      </c>
      <c r="S568">
        <v>4138828</v>
      </c>
      <c r="T568">
        <v>4046789</v>
      </c>
      <c r="U568">
        <v>0</v>
      </c>
      <c r="V568">
        <v>0</v>
      </c>
      <c r="W568">
        <v>0</v>
      </c>
      <c r="X568">
        <v>0</v>
      </c>
      <c r="Y568">
        <v>11750685</v>
      </c>
      <c r="Z568">
        <v>11804802</v>
      </c>
      <c r="AA568">
        <f t="shared" si="17"/>
        <v>-123882</v>
      </c>
      <c r="AB568">
        <f t="shared" si="16"/>
        <v>-1.8435581347624002</v>
      </c>
    </row>
    <row r="569" spans="1:28">
      <c r="A569" t="s">
        <v>46</v>
      </c>
      <c r="B569" s="2">
        <v>45200</v>
      </c>
      <c r="C569" s="2">
        <v>45170</v>
      </c>
      <c r="D569" s="2">
        <v>45294</v>
      </c>
      <c r="E569">
        <v>65527721</v>
      </c>
      <c r="F569">
        <v>65805953</v>
      </c>
      <c r="G569">
        <v>278232</v>
      </c>
      <c r="H569">
        <v>92</v>
      </c>
      <c r="I569">
        <v>740000</v>
      </c>
      <c r="J569" t="s">
        <v>29</v>
      </c>
      <c r="K569">
        <v>62.01</v>
      </c>
      <c r="L569">
        <v>62.75</v>
      </c>
      <c r="M569">
        <v>22971737</v>
      </c>
      <c r="N569">
        <v>23007123</v>
      </c>
      <c r="O569">
        <v>155</v>
      </c>
      <c r="P569">
        <v>155</v>
      </c>
      <c r="Q569">
        <v>11261139</v>
      </c>
      <c r="R569">
        <v>11339450</v>
      </c>
      <c r="S569">
        <v>5677644</v>
      </c>
      <c r="T569">
        <v>5698869</v>
      </c>
      <c r="U569">
        <v>0</v>
      </c>
      <c r="V569">
        <v>0</v>
      </c>
      <c r="W569">
        <v>0</v>
      </c>
      <c r="X569">
        <v>0</v>
      </c>
      <c r="Y569">
        <v>25617046</v>
      </c>
      <c r="Z569">
        <v>25760356</v>
      </c>
      <c r="AA569">
        <f t="shared" si="17"/>
        <v>78311</v>
      </c>
      <c r="AB569">
        <f t="shared" si="16"/>
        <v>0.6954092299189274</v>
      </c>
    </row>
    <row r="570" spans="1:28">
      <c r="A570" t="s">
        <v>47</v>
      </c>
      <c r="B570" s="2">
        <v>45200</v>
      </c>
      <c r="C570" s="2">
        <v>45170</v>
      </c>
      <c r="D570" s="2">
        <v>45294</v>
      </c>
      <c r="E570">
        <v>77665320</v>
      </c>
      <c r="F570">
        <v>77685603</v>
      </c>
      <c r="G570">
        <v>20283</v>
      </c>
      <c r="H570">
        <v>93.45</v>
      </c>
      <c r="I570">
        <v>570000</v>
      </c>
      <c r="J570" t="s">
        <v>29</v>
      </c>
      <c r="K570">
        <v>58.48</v>
      </c>
      <c r="L570">
        <v>59.05</v>
      </c>
      <c r="M570">
        <v>28716722</v>
      </c>
      <c r="N570">
        <v>28773048</v>
      </c>
      <c r="O570">
        <v>238</v>
      </c>
      <c r="P570">
        <v>238</v>
      </c>
      <c r="Q570">
        <v>16220684</v>
      </c>
      <c r="R570">
        <v>16102580</v>
      </c>
      <c r="S570">
        <v>7579750</v>
      </c>
      <c r="T570">
        <v>7543617</v>
      </c>
      <c r="U570">
        <v>165045</v>
      </c>
      <c r="V570">
        <v>170419</v>
      </c>
      <c r="W570">
        <v>0</v>
      </c>
      <c r="X570">
        <v>0</v>
      </c>
      <c r="Y570">
        <v>24982881</v>
      </c>
      <c r="Z570">
        <v>25095701</v>
      </c>
      <c r="AA570">
        <f t="shared" si="17"/>
        <v>-118104</v>
      </c>
      <c r="AB570">
        <f t="shared" si="16"/>
        <v>-0.7281073967041094</v>
      </c>
    </row>
    <row r="571" spans="1:28">
      <c r="A571" t="s">
        <v>48</v>
      </c>
      <c r="B571" s="2">
        <v>45200</v>
      </c>
      <c r="C571" s="2">
        <v>45170</v>
      </c>
      <c r="D571" s="2">
        <v>45294</v>
      </c>
      <c r="E571">
        <v>100342823</v>
      </c>
      <c r="F571">
        <v>100322633</v>
      </c>
      <c r="G571">
        <v>-20190</v>
      </c>
      <c r="H571">
        <v>86.24</v>
      </c>
      <c r="I571">
        <v>1790000</v>
      </c>
      <c r="J571" t="s">
        <v>29</v>
      </c>
      <c r="K571">
        <v>80.290000000000006</v>
      </c>
      <c r="L571">
        <v>82.08</v>
      </c>
      <c r="M571">
        <v>36872197</v>
      </c>
      <c r="N571">
        <v>36809888</v>
      </c>
      <c r="O571">
        <v>0</v>
      </c>
      <c r="P571">
        <v>0</v>
      </c>
      <c r="Q571">
        <v>17911800</v>
      </c>
      <c r="R571">
        <v>17646785</v>
      </c>
      <c r="S571">
        <v>8096415</v>
      </c>
      <c r="T571">
        <v>8128335</v>
      </c>
      <c r="U571">
        <v>0</v>
      </c>
      <c r="V571">
        <v>0</v>
      </c>
      <c r="W571">
        <v>0</v>
      </c>
      <c r="X571">
        <v>0</v>
      </c>
      <c r="Y571">
        <v>37462411</v>
      </c>
      <c r="Z571">
        <v>37737625</v>
      </c>
      <c r="AA571">
        <f t="shared" si="17"/>
        <v>-265015</v>
      </c>
      <c r="AB571">
        <f t="shared" si="16"/>
        <v>-1.479555376902377</v>
      </c>
    </row>
    <row r="572" spans="1:28">
      <c r="A572" t="s">
        <v>49</v>
      </c>
      <c r="B572" s="2">
        <v>45200</v>
      </c>
      <c r="C572" s="2">
        <v>45170</v>
      </c>
      <c r="D572" s="2">
        <v>45294</v>
      </c>
      <c r="E572">
        <v>62313815</v>
      </c>
      <c r="F572">
        <v>62362562</v>
      </c>
      <c r="G572">
        <v>48747</v>
      </c>
      <c r="H572">
        <v>89.24</v>
      </c>
      <c r="I572">
        <v>1210000</v>
      </c>
      <c r="J572" t="s">
        <v>29</v>
      </c>
      <c r="K572">
        <v>61.98</v>
      </c>
      <c r="L572">
        <v>63.19</v>
      </c>
      <c r="M572">
        <v>18300702</v>
      </c>
      <c r="N572">
        <v>18363549</v>
      </c>
      <c r="O572">
        <v>8</v>
      </c>
      <c r="P572">
        <v>8</v>
      </c>
      <c r="Q572">
        <v>15896482</v>
      </c>
      <c r="R572">
        <v>15749526</v>
      </c>
      <c r="S572">
        <v>4957432</v>
      </c>
      <c r="T572">
        <v>4946897</v>
      </c>
      <c r="U572">
        <v>0</v>
      </c>
      <c r="V572">
        <v>0</v>
      </c>
      <c r="W572">
        <v>0</v>
      </c>
      <c r="X572">
        <v>0</v>
      </c>
      <c r="Y572">
        <v>23159191</v>
      </c>
      <c r="Z572">
        <v>23302582</v>
      </c>
      <c r="AA572">
        <f t="shared" si="17"/>
        <v>-146956</v>
      </c>
      <c r="AB572">
        <f t="shared" si="16"/>
        <v>-0.92445611551033746</v>
      </c>
    </row>
    <row r="573" spans="1:28">
      <c r="A573" t="s">
        <v>50</v>
      </c>
      <c r="B573" s="2">
        <v>45200</v>
      </c>
      <c r="C573" s="2">
        <v>45170</v>
      </c>
      <c r="D573" s="2">
        <v>45294</v>
      </c>
      <c r="E573">
        <v>56921593</v>
      </c>
      <c r="F573">
        <v>57094036</v>
      </c>
      <c r="G573">
        <v>172443</v>
      </c>
      <c r="H573">
        <v>93</v>
      </c>
      <c r="I573">
        <v>930000</v>
      </c>
      <c r="J573" t="s">
        <v>29</v>
      </c>
      <c r="K573">
        <v>49.4</v>
      </c>
      <c r="L573">
        <v>50.33</v>
      </c>
      <c r="M573">
        <v>17467498</v>
      </c>
      <c r="N573">
        <v>17580024</v>
      </c>
      <c r="O573">
        <v>115</v>
      </c>
      <c r="P573">
        <v>115</v>
      </c>
      <c r="Q573">
        <v>13734392</v>
      </c>
      <c r="R573">
        <v>13529567</v>
      </c>
      <c r="S573">
        <v>2376102</v>
      </c>
      <c r="T573">
        <v>2381712</v>
      </c>
      <c r="U573">
        <v>0</v>
      </c>
      <c r="V573">
        <v>0</v>
      </c>
      <c r="W573">
        <v>0</v>
      </c>
      <c r="X573">
        <v>0</v>
      </c>
      <c r="Y573">
        <v>23343486</v>
      </c>
      <c r="Z573">
        <v>23602618</v>
      </c>
      <c r="AA573">
        <f t="shared" si="17"/>
        <v>-204825</v>
      </c>
      <c r="AB573">
        <f t="shared" si="16"/>
        <v>-1.4913292120976305</v>
      </c>
    </row>
    <row r="574" spans="1:28">
      <c r="A574" t="s">
        <v>28</v>
      </c>
      <c r="B574" s="2">
        <v>45231</v>
      </c>
      <c r="C574" s="2">
        <v>45200</v>
      </c>
      <c r="D574" s="2">
        <v>45320</v>
      </c>
      <c r="E574">
        <v>82346886</v>
      </c>
      <c r="F574">
        <v>82821203</v>
      </c>
      <c r="G574">
        <v>474317</v>
      </c>
      <c r="H574">
        <v>93.48</v>
      </c>
      <c r="I574">
        <v>590000</v>
      </c>
      <c r="J574" t="s">
        <v>29</v>
      </c>
      <c r="K574">
        <v>62.23</v>
      </c>
      <c r="L574">
        <v>62.82</v>
      </c>
      <c r="M574">
        <v>33228319</v>
      </c>
      <c r="N574">
        <v>33362834</v>
      </c>
      <c r="O574">
        <v>0</v>
      </c>
      <c r="P574">
        <v>0</v>
      </c>
      <c r="Q574">
        <v>10910051</v>
      </c>
      <c r="R574">
        <v>10952353</v>
      </c>
      <c r="S574">
        <v>6528946</v>
      </c>
      <c r="T574">
        <v>6525300</v>
      </c>
      <c r="U574">
        <v>0</v>
      </c>
      <c r="V574">
        <v>0</v>
      </c>
      <c r="W574">
        <v>0</v>
      </c>
      <c r="X574">
        <v>0</v>
      </c>
      <c r="Y574">
        <v>31679570</v>
      </c>
      <c r="Z574">
        <v>31980716</v>
      </c>
      <c r="AA574">
        <f t="shared" si="17"/>
        <v>42302</v>
      </c>
      <c r="AB574">
        <f t="shared" si="16"/>
        <v>0.38773420949177967</v>
      </c>
    </row>
    <row r="575" spans="1:28">
      <c r="A575" t="s">
        <v>30</v>
      </c>
      <c r="B575" s="2">
        <v>45231</v>
      </c>
      <c r="C575" s="2">
        <v>45200</v>
      </c>
      <c r="D575" s="2">
        <v>45320</v>
      </c>
      <c r="E575">
        <v>25627543</v>
      </c>
      <c r="F575">
        <v>25622339</v>
      </c>
      <c r="G575">
        <v>-5204</v>
      </c>
      <c r="H575">
        <v>92.75</v>
      </c>
      <c r="I575">
        <v>100000</v>
      </c>
      <c r="J575" t="s">
        <v>29</v>
      </c>
      <c r="K575">
        <v>6.44</v>
      </c>
      <c r="L575">
        <v>6.54</v>
      </c>
      <c r="M575">
        <v>11540572</v>
      </c>
      <c r="N575">
        <v>11548817</v>
      </c>
      <c r="O575">
        <v>0</v>
      </c>
      <c r="P575">
        <v>0</v>
      </c>
      <c r="Q575">
        <v>1773143</v>
      </c>
      <c r="R575">
        <v>1739650</v>
      </c>
      <c r="S575">
        <v>3186369</v>
      </c>
      <c r="T575">
        <v>3136425</v>
      </c>
      <c r="U575">
        <v>0</v>
      </c>
      <c r="V575">
        <v>0</v>
      </c>
      <c r="W575">
        <v>0</v>
      </c>
      <c r="X575">
        <v>0</v>
      </c>
      <c r="Y575">
        <v>9127459</v>
      </c>
      <c r="Z575">
        <v>9197447</v>
      </c>
      <c r="AA575">
        <f t="shared" si="17"/>
        <v>-33493</v>
      </c>
      <c r="AB575">
        <f t="shared" si="16"/>
        <v>-1.8889057453346965</v>
      </c>
    </row>
    <row r="576" spans="1:28">
      <c r="A576" t="s">
        <v>31</v>
      </c>
      <c r="B576" s="2">
        <v>45231</v>
      </c>
      <c r="C576" s="2">
        <v>45200</v>
      </c>
      <c r="D576" s="2">
        <v>45320</v>
      </c>
      <c r="E576">
        <v>93110313</v>
      </c>
      <c r="F576">
        <v>93542725</v>
      </c>
      <c r="G576">
        <v>432412</v>
      </c>
      <c r="H576">
        <v>91.76</v>
      </c>
      <c r="I576">
        <v>810000</v>
      </c>
      <c r="J576" t="s">
        <v>29</v>
      </c>
      <c r="K576">
        <v>48.96</v>
      </c>
      <c r="L576">
        <v>49.77</v>
      </c>
      <c r="M576">
        <v>40673476</v>
      </c>
      <c r="N576">
        <v>41025566</v>
      </c>
      <c r="O576">
        <v>0</v>
      </c>
      <c r="P576">
        <v>0</v>
      </c>
      <c r="Q576">
        <v>7760256</v>
      </c>
      <c r="R576">
        <v>7718352</v>
      </c>
      <c r="S576">
        <v>5407684</v>
      </c>
      <c r="T576">
        <v>5191375</v>
      </c>
      <c r="U576">
        <v>0</v>
      </c>
      <c r="V576">
        <v>0</v>
      </c>
      <c r="W576">
        <v>0</v>
      </c>
      <c r="X576">
        <v>0</v>
      </c>
      <c r="Y576">
        <v>39268897</v>
      </c>
      <c r="Z576">
        <v>39607432</v>
      </c>
      <c r="AA576">
        <f t="shared" si="17"/>
        <v>-41904</v>
      </c>
      <c r="AB576">
        <f t="shared" si="16"/>
        <v>-0.53998218615468352</v>
      </c>
    </row>
    <row r="577" spans="1:28">
      <c r="A577" t="s">
        <v>32</v>
      </c>
      <c r="B577" s="2">
        <v>45231</v>
      </c>
      <c r="C577" s="2">
        <v>45200</v>
      </c>
      <c r="D577" s="2">
        <v>45320</v>
      </c>
      <c r="E577">
        <v>55528364</v>
      </c>
      <c r="F577">
        <v>55826951</v>
      </c>
      <c r="G577">
        <v>298587</v>
      </c>
      <c r="H577">
        <v>61.55</v>
      </c>
      <c r="I577">
        <v>550000</v>
      </c>
      <c r="J577" t="s">
        <v>29</v>
      </c>
      <c r="K577">
        <v>43.36</v>
      </c>
      <c r="L577">
        <v>43.91</v>
      </c>
      <c r="M577">
        <v>17733883</v>
      </c>
      <c r="N577">
        <v>17872157</v>
      </c>
      <c r="O577">
        <v>23</v>
      </c>
      <c r="P577">
        <v>23</v>
      </c>
      <c r="Q577">
        <v>16502307</v>
      </c>
      <c r="R577">
        <v>16560519</v>
      </c>
      <c r="S577">
        <v>0</v>
      </c>
      <c r="T577">
        <v>0</v>
      </c>
      <c r="U577">
        <v>0</v>
      </c>
      <c r="V577">
        <v>0</v>
      </c>
      <c r="W577">
        <v>1687496</v>
      </c>
      <c r="X577">
        <v>1687182</v>
      </c>
      <c r="Y577">
        <v>19604655</v>
      </c>
      <c r="Z577">
        <v>19707070</v>
      </c>
      <c r="AA577">
        <f t="shared" si="17"/>
        <v>58212</v>
      </c>
      <c r="AB577">
        <f t="shared" si="16"/>
        <v>0.35275067904142132</v>
      </c>
    </row>
    <row r="578" spans="1:28">
      <c r="A578" t="s">
        <v>33</v>
      </c>
      <c r="B578" s="2">
        <v>45231</v>
      </c>
      <c r="C578" s="2">
        <v>45200</v>
      </c>
      <c r="D578" s="2">
        <v>45320</v>
      </c>
      <c r="E578">
        <v>65744452</v>
      </c>
      <c r="F578">
        <v>66096470</v>
      </c>
      <c r="G578">
        <v>352018</v>
      </c>
      <c r="H578">
        <v>92.83</v>
      </c>
      <c r="I578">
        <v>770000</v>
      </c>
      <c r="J578" t="s">
        <v>29</v>
      </c>
      <c r="K578">
        <v>61.62</v>
      </c>
      <c r="L578">
        <v>62.39</v>
      </c>
      <c r="M578">
        <v>11507371</v>
      </c>
      <c r="N578">
        <v>11605707</v>
      </c>
      <c r="O578">
        <v>43</v>
      </c>
      <c r="P578">
        <v>43</v>
      </c>
      <c r="Q578">
        <v>21198361</v>
      </c>
      <c r="R578">
        <v>21077128</v>
      </c>
      <c r="S578">
        <v>4409497</v>
      </c>
      <c r="T578">
        <v>4406518</v>
      </c>
      <c r="U578">
        <v>0</v>
      </c>
      <c r="V578">
        <v>0</v>
      </c>
      <c r="W578">
        <v>0</v>
      </c>
      <c r="X578">
        <v>0</v>
      </c>
      <c r="Y578">
        <v>28629180</v>
      </c>
      <c r="Z578">
        <v>29007074</v>
      </c>
      <c r="AA578">
        <f t="shared" si="17"/>
        <v>-121233</v>
      </c>
      <c r="AB578">
        <f t="shared" si="16"/>
        <v>-0.5718979877736774</v>
      </c>
    </row>
    <row r="579" spans="1:28">
      <c r="A579" t="s">
        <v>34</v>
      </c>
      <c r="B579" s="2">
        <v>45231</v>
      </c>
      <c r="C579" s="2">
        <v>45200</v>
      </c>
      <c r="D579" s="2">
        <v>45320</v>
      </c>
      <c r="E579">
        <v>26427001</v>
      </c>
      <c r="F579">
        <v>26519962</v>
      </c>
      <c r="G579">
        <v>92961</v>
      </c>
      <c r="H579">
        <v>92.34</v>
      </c>
      <c r="I579">
        <v>340000</v>
      </c>
      <c r="J579" t="s">
        <v>29</v>
      </c>
      <c r="K579">
        <v>28.8</v>
      </c>
      <c r="L579">
        <v>29.14</v>
      </c>
      <c r="M579">
        <v>6762479</v>
      </c>
      <c r="N579">
        <v>6812086</v>
      </c>
      <c r="O579">
        <v>11</v>
      </c>
      <c r="P579">
        <v>11</v>
      </c>
      <c r="Q579">
        <v>6920434</v>
      </c>
      <c r="R579">
        <v>6884301</v>
      </c>
      <c r="S579">
        <v>4249899</v>
      </c>
      <c r="T579">
        <v>4312759</v>
      </c>
      <c r="U579">
        <v>0</v>
      </c>
      <c r="V579">
        <v>0</v>
      </c>
      <c r="W579">
        <v>0</v>
      </c>
      <c r="X579">
        <v>0</v>
      </c>
      <c r="Y579">
        <v>8494178</v>
      </c>
      <c r="Z579">
        <v>8510805</v>
      </c>
      <c r="AA579">
        <f t="shared" si="17"/>
        <v>-36133</v>
      </c>
      <c r="AB579">
        <f t="shared" ref="AB579:AB642" si="18">(($R579-$Q579)/$Q579)*100</f>
        <v>-0.52212043348726389</v>
      </c>
    </row>
    <row r="580" spans="1:28">
      <c r="A580" t="s">
        <v>35</v>
      </c>
      <c r="B580" s="2">
        <v>45231</v>
      </c>
      <c r="C580" s="2">
        <v>45200</v>
      </c>
      <c r="D580" s="2">
        <v>45320</v>
      </c>
      <c r="E580">
        <v>8853570</v>
      </c>
      <c r="F580">
        <v>8844346</v>
      </c>
      <c r="G580">
        <v>-9224</v>
      </c>
      <c r="H580">
        <v>102.12</v>
      </c>
      <c r="I580">
        <v>50000</v>
      </c>
      <c r="J580" t="s">
        <v>29</v>
      </c>
      <c r="K580">
        <v>3.92</v>
      </c>
      <c r="L580">
        <v>3.97</v>
      </c>
      <c r="M580">
        <v>3555543</v>
      </c>
      <c r="N580">
        <v>3558426</v>
      </c>
      <c r="O580">
        <v>92</v>
      </c>
      <c r="P580">
        <v>92</v>
      </c>
      <c r="Q580">
        <v>408440</v>
      </c>
      <c r="R580">
        <v>405602</v>
      </c>
      <c r="S580">
        <v>1541724</v>
      </c>
      <c r="T580">
        <v>1546714</v>
      </c>
      <c r="U580">
        <v>0</v>
      </c>
      <c r="V580">
        <v>0</v>
      </c>
      <c r="W580">
        <v>0</v>
      </c>
      <c r="X580">
        <v>0</v>
      </c>
      <c r="Y580">
        <v>3347771</v>
      </c>
      <c r="Z580">
        <v>3333512</v>
      </c>
      <c r="AA580">
        <f t="shared" ref="AA580:AA643" si="19">$R580-$Q580</f>
        <v>-2838</v>
      </c>
      <c r="AB580">
        <f t="shared" si="18"/>
        <v>-0.69483889922632458</v>
      </c>
    </row>
    <row r="581" spans="1:28">
      <c r="A581" t="s">
        <v>36</v>
      </c>
      <c r="B581" s="2">
        <v>45231</v>
      </c>
      <c r="C581" s="2">
        <v>45200</v>
      </c>
      <c r="D581" s="2">
        <v>45320</v>
      </c>
      <c r="E581">
        <v>12247466</v>
      </c>
      <c r="F581">
        <v>12184491</v>
      </c>
      <c r="G581">
        <v>-62975</v>
      </c>
      <c r="H581">
        <v>86.54</v>
      </c>
      <c r="I581">
        <v>40000</v>
      </c>
      <c r="J581" t="s">
        <v>29</v>
      </c>
      <c r="K581">
        <v>2.1800000000000002</v>
      </c>
      <c r="L581">
        <v>2.2200000000000002</v>
      </c>
      <c r="M581">
        <v>5929524</v>
      </c>
      <c r="N581">
        <v>5901934</v>
      </c>
      <c r="O581">
        <v>0</v>
      </c>
      <c r="P581">
        <v>0</v>
      </c>
      <c r="Q581">
        <v>304916</v>
      </c>
      <c r="R581">
        <v>302020</v>
      </c>
      <c r="S581">
        <v>819143</v>
      </c>
      <c r="T581">
        <v>811267</v>
      </c>
      <c r="U581">
        <v>0</v>
      </c>
      <c r="V581">
        <v>0</v>
      </c>
      <c r="W581">
        <v>0</v>
      </c>
      <c r="X581">
        <v>0</v>
      </c>
      <c r="Y581">
        <v>5193883</v>
      </c>
      <c r="Z581">
        <v>5169270</v>
      </c>
      <c r="AA581">
        <f t="shared" si="19"/>
        <v>-2896</v>
      </c>
      <c r="AB581">
        <f t="shared" si="18"/>
        <v>-0.94976977265869944</v>
      </c>
    </row>
    <row r="582" spans="1:28">
      <c r="A582" t="s">
        <v>37</v>
      </c>
      <c r="B582" s="2">
        <v>45231</v>
      </c>
      <c r="C582" s="2">
        <v>45200</v>
      </c>
      <c r="D582" s="2">
        <v>45320</v>
      </c>
      <c r="E582">
        <v>65719715</v>
      </c>
      <c r="F582">
        <v>66006373</v>
      </c>
      <c r="G582">
        <v>286658</v>
      </c>
      <c r="H582">
        <v>84.23</v>
      </c>
      <c r="I582">
        <v>590000</v>
      </c>
      <c r="J582" t="s">
        <v>29</v>
      </c>
      <c r="K582">
        <v>64.03</v>
      </c>
      <c r="L582">
        <v>64.62</v>
      </c>
      <c r="M582">
        <v>31673762</v>
      </c>
      <c r="N582">
        <v>31840225</v>
      </c>
      <c r="O582">
        <v>574</v>
      </c>
      <c r="P582">
        <v>574</v>
      </c>
      <c r="Q582">
        <v>6608091</v>
      </c>
      <c r="R582">
        <v>6543662</v>
      </c>
      <c r="S582">
        <v>4324722</v>
      </c>
      <c r="T582">
        <v>4271752</v>
      </c>
      <c r="U582">
        <v>0</v>
      </c>
      <c r="V582">
        <v>0</v>
      </c>
      <c r="W582">
        <v>0</v>
      </c>
      <c r="X582">
        <v>0</v>
      </c>
      <c r="Y582">
        <v>23112566</v>
      </c>
      <c r="Z582">
        <v>23350160</v>
      </c>
      <c r="AA582">
        <f t="shared" si="19"/>
        <v>-64429</v>
      </c>
      <c r="AB582">
        <f t="shared" si="18"/>
        <v>-0.97500170624163618</v>
      </c>
    </row>
    <row r="583" spans="1:28">
      <c r="A583" t="s">
        <v>38</v>
      </c>
      <c r="B583" s="2">
        <v>45231</v>
      </c>
      <c r="C583" s="2">
        <v>45200</v>
      </c>
      <c r="D583" s="2">
        <v>45320</v>
      </c>
      <c r="E583">
        <v>42405394</v>
      </c>
      <c r="F583">
        <v>42373286</v>
      </c>
      <c r="G583">
        <v>-32108</v>
      </c>
      <c r="H583">
        <v>94.03</v>
      </c>
      <c r="I583">
        <v>240000</v>
      </c>
      <c r="J583" t="s">
        <v>29</v>
      </c>
      <c r="K583">
        <v>22.33</v>
      </c>
      <c r="L583">
        <v>22.57</v>
      </c>
      <c r="M583">
        <v>8359487</v>
      </c>
      <c r="N583">
        <v>8412596</v>
      </c>
      <c r="O583">
        <v>113</v>
      </c>
      <c r="P583">
        <v>113</v>
      </c>
      <c r="Q583">
        <v>13826281</v>
      </c>
      <c r="R583">
        <v>13753816</v>
      </c>
      <c r="S583">
        <v>9569307</v>
      </c>
      <c r="T583">
        <v>9484282</v>
      </c>
      <c r="U583">
        <v>0</v>
      </c>
      <c r="V583">
        <v>0</v>
      </c>
      <c r="W583">
        <v>0</v>
      </c>
      <c r="X583">
        <v>0</v>
      </c>
      <c r="Y583">
        <v>10650206</v>
      </c>
      <c r="Z583">
        <v>10722479</v>
      </c>
      <c r="AA583">
        <f t="shared" si="19"/>
        <v>-72465</v>
      </c>
      <c r="AB583">
        <f t="shared" si="18"/>
        <v>-0.52411056885072715</v>
      </c>
    </row>
    <row r="584" spans="1:28">
      <c r="A584" t="s">
        <v>39</v>
      </c>
      <c r="B584" s="2">
        <v>45231</v>
      </c>
      <c r="C584" s="2">
        <v>45200</v>
      </c>
      <c r="D584" s="2">
        <v>45320</v>
      </c>
      <c r="E584">
        <v>23901335</v>
      </c>
      <c r="F584">
        <v>23969330</v>
      </c>
      <c r="G584">
        <v>67995</v>
      </c>
      <c r="H584">
        <v>96.13</v>
      </c>
      <c r="I584">
        <v>180000</v>
      </c>
      <c r="J584" t="s">
        <v>29</v>
      </c>
      <c r="K584">
        <v>17.059999999999999</v>
      </c>
      <c r="L584">
        <v>17.239999999999998</v>
      </c>
      <c r="M584">
        <v>5685327</v>
      </c>
      <c r="N584">
        <v>5685525</v>
      </c>
      <c r="O584">
        <v>0</v>
      </c>
      <c r="P584">
        <v>0</v>
      </c>
      <c r="Q584">
        <v>5422060</v>
      </c>
      <c r="R584">
        <v>5475184</v>
      </c>
      <c r="S584">
        <v>2162466</v>
      </c>
      <c r="T584">
        <v>2135168</v>
      </c>
      <c r="U584">
        <v>0</v>
      </c>
      <c r="V584">
        <v>0</v>
      </c>
      <c r="W584">
        <v>0</v>
      </c>
      <c r="X584">
        <v>0</v>
      </c>
      <c r="Y584">
        <v>10631482</v>
      </c>
      <c r="Z584">
        <v>10673453</v>
      </c>
      <c r="AA584">
        <f t="shared" si="19"/>
        <v>53124</v>
      </c>
      <c r="AB584">
        <f t="shared" si="18"/>
        <v>0.97977521458633798</v>
      </c>
    </row>
    <row r="585" spans="1:28">
      <c r="A585" t="s">
        <v>40</v>
      </c>
      <c r="B585" s="2">
        <v>45231</v>
      </c>
      <c r="C585" s="2">
        <v>45200</v>
      </c>
      <c r="D585" s="2">
        <v>45320</v>
      </c>
      <c r="E585">
        <v>77701469</v>
      </c>
      <c r="F585">
        <v>77966667</v>
      </c>
      <c r="G585">
        <v>265198</v>
      </c>
      <c r="H585">
        <v>86.11</v>
      </c>
      <c r="I585">
        <v>1010000</v>
      </c>
      <c r="J585" t="s">
        <v>29</v>
      </c>
      <c r="K585">
        <v>69.23</v>
      </c>
      <c r="L585">
        <v>70.239999999999995</v>
      </c>
      <c r="M585">
        <v>15749108</v>
      </c>
      <c r="N585">
        <v>15804052</v>
      </c>
      <c r="O585">
        <v>0</v>
      </c>
      <c r="P585">
        <v>0</v>
      </c>
      <c r="Q585">
        <v>16056589</v>
      </c>
      <c r="R585">
        <v>15954356</v>
      </c>
      <c r="S585">
        <v>4931282</v>
      </c>
      <c r="T585">
        <v>4866660</v>
      </c>
      <c r="U585">
        <v>0</v>
      </c>
      <c r="V585">
        <v>0</v>
      </c>
      <c r="W585">
        <v>0</v>
      </c>
      <c r="X585">
        <v>0</v>
      </c>
      <c r="Y585">
        <v>40964490</v>
      </c>
      <c r="Z585">
        <v>41341599</v>
      </c>
      <c r="AA585">
        <f t="shared" si="19"/>
        <v>-102233</v>
      </c>
      <c r="AB585">
        <f t="shared" si="18"/>
        <v>-0.63670434610987425</v>
      </c>
    </row>
    <row r="586" spans="1:28">
      <c r="A586" t="s">
        <v>41</v>
      </c>
      <c r="B586" s="2">
        <v>45231</v>
      </c>
      <c r="C586" s="2">
        <v>45200</v>
      </c>
      <c r="D586" s="2">
        <v>45320</v>
      </c>
      <c r="E586">
        <v>93471561</v>
      </c>
      <c r="F586">
        <v>93467183</v>
      </c>
      <c r="G586">
        <v>-4378</v>
      </c>
      <c r="H586">
        <v>91.08</v>
      </c>
      <c r="I586">
        <v>930000</v>
      </c>
      <c r="J586" t="s">
        <v>29</v>
      </c>
      <c r="K586">
        <v>74.319999999999993</v>
      </c>
      <c r="L586">
        <v>75.25</v>
      </c>
      <c r="M586">
        <v>21285075</v>
      </c>
      <c r="N586">
        <v>21434762</v>
      </c>
      <c r="O586">
        <v>0</v>
      </c>
      <c r="P586">
        <v>0</v>
      </c>
      <c r="Q586">
        <v>23253124</v>
      </c>
      <c r="R586">
        <v>23088405</v>
      </c>
      <c r="S586">
        <v>6002034</v>
      </c>
      <c r="T586">
        <v>5932278</v>
      </c>
      <c r="U586">
        <v>0</v>
      </c>
      <c r="V586">
        <v>0</v>
      </c>
      <c r="W586">
        <v>0</v>
      </c>
      <c r="X586">
        <v>0</v>
      </c>
      <c r="Y586">
        <v>42931328</v>
      </c>
      <c r="Z586">
        <v>43011738</v>
      </c>
      <c r="AA586">
        <f t="shared" si="19"/>
        <v>-164719</v>
      </c>
      <c r="AB586">
        <f t="shared" si="18"/>
        <v>-0.70837363616174753</v>
      </c>
    </row>
    <row r="587" spans="1:28">
      <c r="A587" t="s">
        <v>42</v>
      </c>
      <c r="B587" s="2">
        <v>45231</v>
      </c>
      <c r="C587" s="2">
        <v>45200</v>
      </c>
      <c r="D587" s="2">
        <v>45320</v>
      </c>
      <c r="E587">
        <v>34018397</v>
      </c>
      <c r="F587">
        <v>34212979</v>
      </c>
      <c r="G587">
        <v>194582</v>
      </c>
      <c r="H587">
        <v>70.03</v>
      </c>
      <c r="I587">
        <v>260000</v>
      </c>
      <c r="J587" t="s">
        <v>29</v>
      </c>
      <c r="K587">
        <v>31.8</v>
      </c>
      <c r="L587">
        <v>32.06</v>
      </c>
      <c r="M587">
        <v>9930689</v>
      </c>
      <c r="N587">
        <v>9998440</v>
      </c>
      <c r="O587">
        <v>877</v>
      </c>
      <c r="P587">
        <v>877</v>
      </c>
      <c r="Q587">
        <v>11210893</v>
      </c>
      <c r="R587">
        <v>11259219</v>
      </c>
      <c r="S587">
        <v>0</v>
      </c>
      <c r="T587">
        <v>0</v>
      </c>
      <c r="U587">
        <v>0</v>
      </c>
      <c r="V587">
        <v>0</v>
      </c>
      <c r="W587">
        <v>259892</v>
      </c>
      <c r="X587">
        <v>255964</v>
      </c>
      <c r="Y587">
        <v>12616046</v>
      </c>
      <c r="Z587">
        <v>12698479</v>
      </c>
      <c r="AA587">
        <f t="shared" si="19"/>
        <v>48326</v>
      </c>
      <c r="AB587">
        <f t="shared" si="18"/>
        <v>0.43106289570331285</v>
      </c>
    </row>
    <row r="588" spans="1:28">
      <c r="A588" t="s">
        <v>43</v>
      </c>
      <c r="B588" s="2">
        <v>45231</v>
      </c>
      <c r="C588" s="2">
        <v>45200</v>
      </c>
      <c r="D588" s="2">
        <v>45320</v>
      </c>
      <c r="E588">
        <v>12363852</v>
      </c>
      <c r="F588">
        <v>12388370</v>
      </c>
      <c r="G588">
        <v>24518</v>
      </c>
      <c r="H588">
        <v>94.43</v>
      </c>
      <c r="I588">
        <v>20000</v>
      </c>
      <c r="J588" t="s">
        <v>29</v>
      </c>
      <c r="K588">
        <v>2.09</v>
      </c>
      <c r="L588">
        <v>2.11</v>
      </c>
      <c r="M588">
        <v>6122437</v>
      </c>
      <c r="N588">
        <v>6144465</v>
      </c>
      <c r="O588">
        <v>0</v>
      </c>
      <c r="P588">
        <v>0</v>
      </c>
      <c r="Q588">
        <v>846756</v>
      </c>
      <c r="R588">
        <v>831926</v>
      </c>
      <c r="S588">
        <v>1254836</v>
      </c>
      <c r="T588">
        <v>1247564</v>
      </c>
      <c r="U588">
        <v>0</v>
      </c>
      <c r="V588">
        <v>0</v>
      </c>
      <c r="W588">
        <v>0</v>
      </c>
      <c r="X588">
        <v>0</v>
      </c>
      <c r="Y588">
        <v>4139823</v>
      </c>
      <c r="Z588">
        <v>4164415</v>
      </c>
      <c r="AA588">
        <f t="shared" si="19"/>
        <v>-14830</v>
      </c>
      <c r="AB588">
        <f t="shared" si="18"/>
        <v>-1.7513900108177562</v>
      </c>
    </row>
    <row r="589" spans="1:28">
      <c r="A589" t="s">
        <v>44</v>
      </c>
      <c r="B589" s="2">
        <v>45231</v>
      </c>
      <c r="C589" s="2">
        <v>45200</v>
      </c>
      <c r="D589" s="2">
        <v>45320</v>
      </c>
      <c r="E589">
        <v>33356854</v>
      </c>
      <c r="F589">
        <v>33150591</v>
      </c>
      <c r="G589">
        <v>-206263</v>
      </c>
      <c r="H589">
        <v>93.07</v>
      </c>
      <c r="I589">
        <v>170000</v>
      </c>
      <c r="J589" t="s">
        <v>29</v>
      </c>
      <c r="K589">
        <v>16.190000000000001</v>
      </c>
      <c r="L589">
        <v>16.36</v>
      </c>
      <c r="M589">
        <v>11422859</v>
      </c>
      <c r="N589">
        <v>11460253</v>
      </c>
      <c r="O589">
        <v>29</v>
      </c>
      <c r="P589">
        <v>29</v>
      </c>
      <c r="Q589">
        <v>1524537</v>
      </c>
      <c r="R589">
        <v>1526680</v>
      </c>
      <c r="S589">
        <v>5735155</v>
      </c>
      <c r="T589">
        <v>5452631</v>
      </c>
      <c r="U589">
        <v>0</v>
      </c>
      <c r="V589">
        <v>0</v>
      </c>
      <c r="W589">
        <v>0</v>
      </c>
      <c r="X589">
        <v>0</v>
      </c>
      <c r="Y589">
        <v>14674274</v>
      </c>
      <c r="Z589">
        <v>14710998</v>
      </c>
      <c r="AA589">
        <f t="shared" si="19"/>
        <v>2143</v>
      </c>
      <c r="AB589">
        <f t="shared" si="18"/>
        <v>0.1405672673080417</v>
      </c>
    </row>
    <row r="590" spans="1:28">
      <c r="A590" t="s">
        <v>45</v>
      </c>
      <c r="B590" s="2">
        <v>45231</v>
      </c>
      <c r="C590" s="2">
        <v>45200</v>
      </c>
      <c r="D590" s="2">
        <v>45320</v>
      </c>
      <c r="E590">
        <v>34887206</v>
      </c>
      <c r="F590">
        <v>34989916</v>
      </c>
      <c r="G590">
        <v>102710</v>
      </c>
      <c r="H590">
        <v>93.76</v>
      </c>
      <c r="I590">
        <v>290000</v>
      </c>
      <c r="J590" t="s">
        <v>29</v>
      </c>
      <c r="K590">
        <v>30.86</v>
      </c>
      <c r="L590">
        <v>31.15</v>
      </c>
      <c r="M590">
        <v>12439668</v>
      </c>
      <c r="N590">
        <v>12487975</v>
      </c>
      <c r="O590">
        <v>106</v>
      </c>
      <c r="P590">
        <v>106</v>
      </c>
      <c r="Q590">
        <v>6595841</v>
      </c>
      <c r="R590">
        <v>6597101</v>
      </c>
      <c r="S590">
        <v>4046789</v>
      </c>
      <c r="T590">
        <v>4018254</v>
      </c>
      <c r="U590">
        <v>0</v>
      </c>
      <c r="V590">
        <v>0</v>
      </c>
      <c r="W590">
        <v>0</v>
      </c>
      <c r="X590">
        <v>0</v>
      </c>
      <c r="Y590">
        <v>11804802</v>
      </c>
      <c r="Z590">
        <v>11886480</v>
      </c>
      <c r="AA590">
        <f t="shared" si="19"/>
        <v>1260</v>
      </c>
      <c r="AB590">
        <f t="shared" si="18"/>
        <v>1.9102946841805312E-2</v>
      </c>
    </row>
    <row r="591" spans="1:28">
      <c r="A591" t="s">
        <v>46</v>
      </c>
      <c r="B591" s="2">
        <v>45231</v>
      </c>
      <c r="C591" s="2">
        <v>45200</v>
      </c>
      <c r="D591" s="2">
        <v>45320</v>
      </c>
      <c r="E591">
        <v>65805953</v>
      </c>
      <c r="F591">
        <v>65754130</v>
      </c>
      <c r="G591">
        <v>-51823</v>
      </c>
      <c r="H591">
        <v>93.58</v>
      </c>
      <c r="I591">
        <v>650000</v>
      </c>
      <c r="J591" t="s">
        <v>29</v>
      </c>
      <c r="K591">
        <v>62.75</v>
      </c>
      <c r="L591">
        <v>63.4</v>
      </c>
      <c r="M591">
        <v>23007123</v>
      </c>
      <c r="N591">
        <v>22968577</v>
      </c>
      <c r="O591">
        <v>155</v>
      </c>
      <c r="P591">
        <v>155</v>
      </c>
      <c r="Q591">
        <v>11339450</v>
      </c>
      <c r="R591">
        <v>11132160</v>
      </c>
      <c r="S591">
        <v>5698869</v>
      </c>
      <c r="T591">
        <v>5640275</v>
      </c>
      <c r="U591">
        <v>0</v>
      </c>
      <c r="V591">
        <v>0</v>
      </c>
      <c r="W591">
        <v>0</v>
      </c>
      <c r="X591">
        <v>0</v>
      </c>
      <c r="Y591">
        <v>25760356</v>
      </c>
      <c r="Z591">
        <v>26012963</v>
      </c>
      <c r="AA591">
        <f t="shared" si="19"/>
        <v>-207290</v>
      </c>
      <c r="AB591">
        <f t="shared" si="18"/>
        <v>-1.828042806308948</v>
      </c>
    </row>
    <row r="592" spans="1:28">
      <c r="A592" t="s">
        <v>47</v>
      </c>
      <c r="B592" s="2">
        <v>45231</v>
      </c>
      <c r="C592" s="2">
        <v>45200</v>
      </c>
      <c r="D592" s="2">
        <v>45320</v>
      </c>
      <c r="E592">
        <v>77685603</v>
      </c>
      <c r="F592">
        <v>78036576</v>
      </c>
      <c r="G592">
        <v>350973</v>
      </c>
      <c r="H592">
        <v>92.56</v>
      </c>
      <c r="I592">
        <v>570000</v>
      </c>
      <c r="J592" t="s">
        <v>29</v>
      </c>
      <c r="K592">
        <v>59.05</v>
      </c>
      <c r="L592">
        <v>59.62</v>
      </c>
      <c r="M592">
        <v>28773048</v>
      </c>
      <c r="N592">
        <v>28959220</v>
      </c>
      <c r="O592">
        <v>238</v>
      </c>
      <c r="P592">
        <v>238</v>
      </c>
      <c r="Q592">
        <v>16102580</v>
      </c>
      <c r="R592">
        <v>16092353</v>
      </c>
      <c r="S592">
        <v>7543617</v>
      </c>
      <c r="T592">
        <v>7531699</v>
      </c>
      <c r="U592">
        <v>170419</v>
      </c>
      <c r="V592">
        <v>175984</v>
      </c>
      <c r="W592">
        <v>0</v>
      </c>
      <c r="X592">
        <v>0</v>
      </c>
      <c r="Y592">
        <v>25095701</v>
      </c>
      <c r="Z592">
        <v>25277082</v>
      </c>
      <c r="AA592">
        <f t="shared" si="19"/>
        <v>-10227</v>
      </c>
      <c r="AB592">
        <f t="shared" si="18"/>
        <v>-6.3511561501324629E-2</v>
      </c>
    </row>
    <row r="593" spans="1:28">
      <c r="A593" t="s">
        <v>48</v>
      </c>
      <c r="B593" s="2">
        <v>45231</v>
      </c>
      <c r="C593" s="2">
        <v>45200</v>
      </c>
      <c r="D593" s="2">
        <v>45320</v>
      </c>
      <c r="E593">
        <v>100322633</v>
      </c>
      <c r="F593">
        <v>100565186</v>
      </c>
      <c r="G593">
        <v>242553</v>
      </c>
      <c r="H593">
        <v>90.69</v>
      </c>
      <c r="I593">
        <v>1700000</v>
      </c>
      <c r="J593" t="s">
        <v>29</v>
      </c>
      <c r="K593">
        <v>82.08</v>
      </c>
      <c r="L593">
        <v>83.78</v>
      </c>
      <c r="M593">
        <v>36809888</v>
      </c>
      <c r="N593">
        <v>36788686</v>
      </c>
      <c r="O593">
        <v>0</v>
      </c>
      <c r="P593">
        <v>0</v>
      </c>
      <c r="Q593">
        <v>17646785</v>
      </c>
      <c r="R593">
        <v>17445631</v>
      </c>
      <c r="S593">
        <v>8128335</v>
      </c>
      <c r="T593">
        <v>8096363</v>
      </c>
      <c r="U593">
        <v>0</v>
      </c>
      <c r="V593">
        <v>0</v>
      </c>
      <c r="W593">
        <v>0</v>
      </c>
      <c r="X593">
        <v>0</v>
      </c>
      <c r="Y593">
        <v>37737625</v>
      </c>
      <c r="Z593">
        <v>38234506</v>
      </c>
      <c r="AA593">
        <f t="shared" si="19"/>
        <v>-201154</v>
      </c>
      <c r="AB593">
        <f t="shared" si="18"/>
        <v>-1.1398903539653256</v>
      </c>
    </row>
    <row r="594" spans="1:28">
      <c r="A594" t="s">
        <v>49</v>
      </c>
      <c r="B594" s="2">
        <v>45231</v>
      </c>
      <c r="C594" s="2">
        <v>45200</v>
      </c>
      <c r="D594" s="2">
        <v>45320</v>
      </c>
      <c r="E594">
        <v>62362562</v>
      </c>
      <c r="F594">
        <v>62628505</v>
      </c>
      <c r="G594">
        <v>265943</v>
      </c>
      <c r="H594">
        <v>93.38</v>
      </c>
      <c r="I594">
        <v>1160000</v>
      </c>
      <c r="J594" t="s">
        <v>29</v>
      </c>
      <c r="K594">
        <v>63.19</v>
      </c>
      <c r="L594">
        <v>64.349999999999994</v>
      </c>
      <c r="M594">
        <v>18363549</v>
      </c>
      <c r="N594">
        <v>18551962</v>
      </c>
      <c r="O594">
        <v>8</v>
      </c>
      <c r="P594">
        <v>8</v>
      </c>
      <c r="Q594">
        <v>15749526</v>
      </c>
      <c r="R594">
        <v>15625011</v>
      </c>
      <c r="S594">
        <v>4946897</v>
      </c>
      <c r="T594">
        <v>4934370</v>
      </c>
      <c r="U594">
        <v>0</v>
      </c>
      <c r="V594">
        <v>0</v>
      </c>
      <c r="W594">
        <v>0</v>
      </c>
      <c r="X594">
        <v>0</v>
      </c>
      <c r="Y594">
        <v>23302582</v>
      </c>
      <c r="Z594">
        <v>23517154</v>
      </c>
      <c r="AA594">
        <f t="shared" si="19"/>
        <v>-124515</v>
      </c>
      <c r="AB594">
        <f t="shared" si="18"/>
        <v>-0.79059522172286334</v>
      </c>
    </row>
    <row r="595" spans="1:28">
      <c r="A595" t="s">
        <v>50</v>
      </c>
      <c r="B595" s="2">
        <v>45231</v>
      </c>
      <c r="C595" s="2">
        <v>45200</v>
      </c>
      <c r="D595" s="2">
        <v>45320</v>
      </c>
      <c r="E595">
        <v>57094036</v>
      </c>
      <c r="F595">
        <v>57198445</v>
      </c>
      <c r="G595">
        <v>104409</v>
      </c>
      <c r="H595">
        <v>91.56</v>
      </c>
      <c r="I595">
        <v>930000</v>
      </c>
      <c r="J595" t="s">
        <v>29</v>
      </c>
      <c r="K595">
        <v>50.33</v>
      </c>
      <c r="L595">
        <v>51.26</v>
      </c>
      <c r="M595">
        <v>17580024</v>
      </c>
      <c r="N595">
        <v>17655998</v>
      </c>
      <c r="O595">
        <v>115</v>
      </c>
      <c r="P595">
        <v>115</v>
      </c>
      <c r="Q595">
        <v>13529567</v>
      </c>
      <c r="R595">
        <v>13451400</v>
      </c>
      <c r="S595">
        <v>2381712</v>
      </c>
      <c r="T595">
        <v>2388783</v>
      </c>
      <c r="U595">
        <v>0</v>
      </c>
      <c r="V595">
        <v>0</v>
      </c>
      <c r="W595">
        <v>0</v>
      </c>
      <c r="X595">
        <v>0</v>
      </c>
      <c r="Y595">
        <v>23602618</v>
      </c>
      <c r="Z595">
        <v>23702149</v>
      </c>
      <c r="AA595">
        <f t="shared" si="19"/>
        <v>-78167</v>
      </c>
      <c r="AB595">
        <f t="shared" si="18"/>
        <v>-0.57774945790948085</v>
      </c>
    </row>
    <row r="596" spans="1:28">
      <c r="A596" t="s">
        <v>28</v>
      </c>
      <c r="B596" s="2">
        <v>45261</v>
      </c>
      <c r="C596" s="2">
        <v>45231</v>
      </c>
      <c r="D596" s="2">
        <v>45344</v>
      </c>
      <c r="E596">
        <v>82821203</v>
      </c>
      <c r="F596">
        <v>83054333</v>
      </c>
      <c r="G596">
        <v>233130</v>
      </c>
      <c r="H596">
        <v>93.27</v>
      </c>
      <c r="I596">
        <v>610000</v>
      </c>
      <c r="J596" t="s">
        <v>29</v>
      </c>
      <c r="K596">
        <v>62.82</v>
      </c>
      <c r="L596">
        <v>63.43</v>
      </c>
      <c r="M596">
        <v>33362834</v>
      </c>
      <c r="N596">
        <v>33456471</v>
      </c>
      <c r="O596">
        <v>0</v>
      </c>
      <c r="P596">
        <v>0</v>
      </c>
      <c r="Q596">
        <v>10952353</v>
      </c>
      <c r="R596">
        <v>10889776</v>
      </c>
      <c r="S596">
        <v>6525300</v>
      </c>
      <c r="T596">
        <v>6526093</v>
      </c>
      <c r="U596">
        <v>0</v>
      </c>
      <c r="V596">
        <v>0</v>
      </c>
      <c r="W596">
        <v>0</v>
      </c>
      <c r="X596">
        <v>0</v>
      </c>
      <c r="Y596">
        <v>31980716</v>
      </c>
      <c r="Z596">
        <v>32181993</v>
      </c>
      <c r="AA596">
        <f t="shared" si="19"/>
        <v>-62577</v>
      </c>
      <c r="AB596">
        <f t="shared" si="18"/>
        <v>-0.57135667559290682</v>
      </c>
    </row>
    <row r="597" spans="1:28">
      <c r="A597" t="s">
        <v>30</v>
      </c>
      <c r="B597" s="2">
        <v>45261</v>
      </c>
      <c r="C597" s="2">
        <v>45231</v>
      </c>
      <c r="D597" s="2">
        <v>45344</v>
      </c>
      <c r="E597">
        <v>25622339</v>
      </c>
      <c r="F597">
        <v>25733635</v>
      </c>
      <c r="G597">
        <v>111296</v>
      </c>
      <c r="H597">
        <v>93.35</v>
      </c>
      <c r="I597">
        <v>100000</v>
      </c>
      <c r="J597" t="s">
        <v>29</v>
      </c>
      <c r="K597">
        <v>6.54</v>
      </c>
      <c r="L597">
        <v>6.64</v>
      </c>
      <c r="M597">
        <v>11548817</v>
      </c>
      <c r="N597">
        <v>11635040</v>
      </c>
      <c r="O597">
        <v>0</v>
      </c>
      <c r="P597">
        <v>0</v>
      </c>
      <c r="Q597">
        <v>1739650</v>
      </c>
      <c r="R597">
        <v>1689221</v>
      </c>
      <c r="S597">
        <v>3136425</v>
      </c>
      <c r="T597">
        <v>3135849</v>
      </c>
      <c r="U597">
        <v>0</v>
      </c>
      <c r="V597">
        <v>0</v>
      </c>
      <c r="W597">
        <v>0</v>
      </c>
      <c r="X597">
        <v>0</v>
      </c>
      <c r="Y597">
        <v>9197447</v>
      </c>
      <c r="Z597">
        <v>9273525</v>
      </c>
      <c r="AA597">
        <f t="shared" si="19"/>
        <v>-50429</v>
      </c>
      <c r="AB597">
        <f t="shared" si="18"/>
        <v>-2.8988014830569364</v>
      </c>
    </row>
    <row r="598" spans="1:28">
      <c r="A598" t="s">
        <v>31</v>
      </c>
      <c r="B598" s="2">
        <v>45261</v>
      </c>
      <c r="C598" s="2">
        <v>45231</v>
      </c>
      <c r="D598" s="2">
        <v>45344</v>
      </c>
      <c r="E598">
        <v>93542725</v>
      </c>
      <c r="F598">
        <v>94055852</v>
      </c>
      <c r="G598">
        <v>513127</v>
      </c>
      <c r="H598">
        <v>92.23</v>
      </c>
      <c r="I598">
        <v>880000</v>
      </c>
      <c r="J598" t="s">
        <v>29</v>
      </c>
      <c r="K598">
        <v>49.77</v>
      </c>
      <c r="L598">
        <v>50.65</v>
      </c>
      <c r="M598">
        <v>41025566</v>
      </c>
      <c r="N598">
        <v>41196724</v>
      </c>
      <c r="O598">
        <v>0</v>
      </c>
      <c r="P598">
        <v>0</v>
      </c>
      <c r="Q598">
        <v>7718352</v>
      </c>
      <c r="R598">
        <v>7685625</v>
      </c>
      <c r="S598">
        <v>5191375</v>
      </c>
      <c r="T598">
        <v>5212767</v>
      </c>
      <c r="U598">
        <v>0</v>
      </c>
      <c r="V598">
        <v>0</v>
      </c>
      <c r="W598">
        <v>0</v>
      </c>
      <c r="X598">
        <v>0</v>
      </c>
      <c r="Y598">
        <v>39607432</v>
      </c>
      <c r="Z598">
        <v>39960736</v>
      </c>
      <c r="AA598">
        <f t="shared" si="19"/>
        <v>-32727</v>
      </c>
      <c r="AB598">
        <f t="shared" si="18"/>
        <v>-0.42401538566782138</v>
      </c>
    </row>
    <row r="599" spans="1:28">
      <c r="A599" t="s">
        <v>32</v>
      </c>
      <c r="B599" s="2">
        <v>45261</v>
      </c>
      <c r="C599" s="2">
        <v>45231</v>
      </c>
      <c r="D599" s="2">
        <v>45344</v>
      </c>
      <c r="E599">
        <v>55826951</v>
      </c>
      <c r="F599">
        <v>56006580</v>
      </c>
      <c r="G599">
        <v>179629</v>
      </c>
      <c r="H599">
        <v>60.22</v>
      </c>
      <c r="I599">
        <v>610000</v>
      </c>
      <c r="J599" t="s">
        <v>29</v>
      </c>
      <c r="K599">
        <v>43.91</v>
      </c>
      <c r="L599">
        <v>44.52</v>
      </c>
      <c r="M599">
        <v>17872157</v>
      </c>
      <c r="N599">
        <v>17944995</v>
      </c>
      <c r="O599">
        <v>23</v>
      </c>
      <c r="P599">
        <v>23</v>
      </c>
      <c r="Q599">
        <v>16560519</v>
      </c>
      <c r="R599">
        <v>16594404</v>
      </c>
      <c r="S599">
        <v>0</v>
      </c>
      <c r="T599">
        <v>0</v>
      </c>
      <c r="U599">
        <v>0</v>
      </c>
      <c r="V599">
        <v>0</v>
      </c>
      <c r="W599">
        <v>1687182</v>
      </c>
      <c r="X599">
        <v>1686812</v>
      </c>
      <c r="Y599">
        <v>19707070</v>
      </c>
      <c r="Z599">
        <v>19780346</v>
      </c>
      <c r="AA599">
        <f t="shared" si="19"/>
        <v>33885</v>
      </c>
      <c r="AB599">
        <f t="shared" si="18"/>
        <v>0.20461315252257492</v>
      </c>
    </row>
    <row r="600" spans="1:28">
      <c r="A600" t="s">
        <v>33</v>
      </c>
      <c r="B600" s="2">
        <v>45261</v>
      </c>
      <c r="C600" s="2">
        <v>45231</v>
      </c>
      <c r="D600" s="2">
        <v>45344</v>
      </c>
      <c r="E600">
        <v>66096470</v>
      </c>
      <c r="F600">
        <v>66405351</v>
      </c>
      <c r="G600">
        <v>308881</v>
      </c>
      <c r="H600">
        <v>93.47</v>
      </c>
      <c r="I600">
        <v>860000</v>
      </c>
      <c r="J600" t="s">
        <v>29</v>
      </c>
      <c r="K600">
        <v>62.39</v>
      </c>
      <c r="L600">
        <v>63.25</v>
      </c>
      <c r="M600">
        <v>11605707</v>
      </c>
      <c r="N600">
        <v>11696221</v>
      </c>
      <c r="O600">
        <v>43</v>
      </c>
      <c r="P600">
        <v>43</v>
      </c>
      <c r="Q600">
        <v>21077128</v>
      </c>
      <c r="R600">
        <v>20936910</v>
      </c>
      <c r="S600">
        <v>4406518</v>
      </c>
      <c r="T600">
        <v>4408539</v>
      </c>
      <c r="U600">
        <v>0</v>
      </c>
      <c r="V600">
        <v>0</v>
      </c>
      <c r="W600">
        <v>0</v>
      </c>
      <c r="X600">
        <v>0</v>
      </c>
      <c r="Y600">
        <v>29007074</v>
      </c>
      <c r="Z600">
        <v>29363638</v>
      </c>
      <c r="AA600">
        <f t="shared" si="19"/>
        <v>-140218</v>
      </c>
      <c r="AB600">
        <f t="shared" si="18"/>
        <v>-0.66526141512259163</v>
      </c>
    </row>
    <row r="601" spans="1:28">
      <c r="A601" t="s">
        <v>34</v>
      </c>
      <c r="B601" s="2">
        <v>45261</v>
      </c>
      <c r="C601" s="2">
        <v>45231</v>
      </c>
      <c r="D601" s="2">
        <v>45344</v>
      </c>
      <c r="E601">
        <v>26519962</v>
      </c>
      <c r="F601">
        <v>26666465</v>
      </c>
      <c r="G601">
        <v>146503</v>
      </c>
      <c r="H601">
        <v>91.75</v>
      </c>
      <c r="I601">
        <v>360000</v>
      </c>
      <c r="J601" t="s">
        <v>29</v>
      </c>
      <c r="K601">
        <v>29.14</v>
      </c>
      <c r="L601">
        <v>29.5</v>
      </c>
      <c r="M601">
        <v>6812086</v>
      </c>
      <c r="N601">
        <v>6913441</v>
      </c>
      <c r="O601">
        <v>11</v>
      </c>
      <c r="P601">
        <v>11</v>
      </c>
      <c r="Q601">
        <v>6884301</v>
      </c>
      <c r="R601">
        <v>6848050</v>
      </c>
      <c r="S601">
        <v>4312759</v>
      </c>
      <c r="T601">
        <v>4334735</v>
      </c>
      <c r="U601">
        <v>0</v>
      </c>
      <c r="V601">
        <v>0</v>
      </c>
      <c r="W601">
        <v>0</v>
      </c>
      <c r="X601">
        <v>0</v>
      </c>
      <c r="Y601">
        <v>8510805</v>
      </c>
      <c r="Z601">
        <v>8570228</v>
      </c>
      <c r="AA601">
        <f t="shared" si="19"/>
        <v>-36251</v>
      </c>
      <c r="AB601">
        <f t="shared" si="18"/>
        <v>-0.52657488392793983</v>
      </c>
    </row>
    <row r="602" spans="1:28">
      <c r="A602" t="s">
        <v>35</v>
      </c>
      <c r="B602" s="2">
        <v>45261</v>
      </c>
      <c r="C602" s="2">
        <v>45231</v>
      </c>
      <c r="D602" s="2">
        <v>45344</v>
      </c>
      <c r="E602">
        <v>8844346</v>
      </c>
      <c r="F602">
        <v>8851068</v>
      </c>
      <c r="G602">
        <v>6722</v>
      </c>
      <c r="H602">
        <v>109.2</v>
      </c>
      <c r="I602">
        <v>40000</v>
      </c>
      <c r="J602" t="s">
        <v>29</v>
      </c>
      <c r="K602">
        <v>3.97</v>
      </c>
      <c r="L602">
        <v>4.01</v>
      </c>
      <c r="M602">
        <v>3558426</v>
      </c>
      <c r="N602">
        <v>3565663</v>
      </c>
      <c r="O602">
        <v>92</v>
      </c>
      <c r="P602">
        <v>92</v>
      </c>
      <c r="Q602">
        <v>405602</v>
      </c>
      <c r="R602">
        <v>404470</v>
      </c>
      <c r="S602">
        <v>1546714</v>
      </c>
      <c r="T602">
        <v>1549857</v>
      </c>
      <c r="U602">
        <v>0</v>
      </c>
      <c r="V602">
        <v>0</v>
      </c>
      <c r="W602">
        <v>0</v>
      </c>
      <c r="X602">
        <v>0</v>
      </c>
      <c r="Y602">
        <v>3333512</v>
      </c>
      <c r="Z602">
        <v>3330986</v>
      </c>
      <c r="AA602">
        <f t="shared" si="19"/>
        <v>-1132</v>
      </c>
      <c r="AB602">
        <f t="shared" si="18"/>
        <v>-0.27909132597965491</v>
      </c>
    </row>
    <row r="603" spans="1:28">
      <c r="A603" t="s">
        <v>36</v>
      </c>
      <c r="B603" s="2">
        <v>45261</v>
      </c>
      <c r="C603" s="2">
        <v>45231</v>
      </c>
      <c r="D603" s="2">
        <v>45344</v>
      </c>
      <c r="E603">
        <v>12184491</v>
      </c>
      <c r="F603">
        <v>12167341</v>
      </c>
      <c r="G603">
        <v>-17150</v>
      </c>
      <c r="H603">
        <v>85.26</v>
      </c>
      <c r="I603">
        <v>50000</v>
      </c>
      <c r="J603" t="s">
        <v>29</v>
      </c>
      <c r="K603">
        <v>2.2200000000000002</v>
      </c>
      <c r="L603">
        <v>2.27</v>
      </c>
      <c r="M603">
        <v>5901934</v>
      </c>
      <c r="N603">
        <v>5889912</v>
      </c>
      <c r="O603">
        <v>0</v>
      </c>
      <c r="P603">
        <v>0</v>
      </c>
      <c r="Q603">
        <v>302020</v>
      </c>
      <c r="R603">
        <v>302053</v>
      </c>
      <c r="S603">
        <v>811267</v>
      </c>
      <c r="T603">
        <v>802417</v>
      </c>
      <c r="U603">
        <v>0</v>
      </c>
      <c r="V603">
        <v>0</v>
      </c>
      <c r="W603">
        <v>0</v>
      </c>
      <c r="X603">
        <v>0</v>
      </c>
      <c r="Y603">
        <v>5169270</v>
      </c>
      <c r="Z603">
        <v>5172959</v>
      </c>
      <c r="AA603">
        <f t="shared" si="19"/>
        <v>33</v>
      </c>
      <c r="AB603">
        <f t="shared" si="18"/>
        <v>1.0926428713330244E-2</v>
      </c>
    </row>
    <row r="604" spans="1:28">
      <c r="A604" t="s">
        <v>37</v>
      </c>
      <c r="B604" s="2">
        <v>45261</v>
      </c>
      <c r="C604" s="2">
        <v>45231</v>
      </c>
      <c r="D604" s="2">
        <v>45344</v>
      </c>
      <c r="E604">
        <v>66006373</v>
      </c>
      <c r="F604">
        <v>66253570</v>
      </c>
      <c r="G604">
        <v>247197</v>
      </c>
      <c r="H604">
        <v>85.38</v>
      </c>
      <c r="I604">
        <v>590000</v>
      </c>
      <c r="J604" t="s">
        <v>29</v>
      </c>
      <c r="K604">
        <v>64.62</v>
      </c>
      <c r="L604">
        <v>65.209999999999994</v>
      </c>
      <c r="M604">
        <v>31840225</v>
      </c>
      <c r="N604">
        <v>31952810</v>
      </c>
      <c r="O604">
        <v>574</v>
      </c>
      <c r="P604">
        <v>574</v>
      </c>
      <c r="Q604">
        <v>6543662</v>
      </c>
      <c r="R604">
        <v>6478767</v>
      </c>
      <c r="S604">
        <v>4271752</v>
      </c>
      <c r="T604">
        <v>4224679</v>
      </c>
      <c r="U604">
        <v>0</v>
      </c>
      <c r="V604">
        <v>0</v>
      </c>
      <c r="W604">
        <v>0</v>
      </c>
      <c r="X604">
        <v>0</v>
      </c>
      <c r="Y604">
        <v>23350160</v>
      </c>
      <c r="Z604">
        <v>23596740</v>
      </c>
      <c r="AA604">
        <f t="shared" si="19"/>
        <v>-64895</v>
      </c>
      <c r="AB604">
        <f t="shared" si="18"/>
        <v>-0.99172298324699537</v>
      </c>
    </row>
    <row r="605" spans="1:28">
      <c r="A605" t="s">
        <v>38</v>
      </c>
      <c r="B605" s="2">
        <v>45261</v>
      </c>
      <c r="C605" s="2">
        <v>45231</v>
      </c>
      <c r="D605" s="2">
        <v>45344</v>
      </c>
      <c r="E605">
        <v>42373286</v>
      </c>
      <c r="F605">
        <v>42385853</v>
      </c>
      <c r="G605">
        <v>12567</v>
      </c>
      <c r="H605">
        <v>94.46</v>
      </c>
      <c r="I605">
        <v>230000</v>
      </c>
      <c r="J605" t="s">
        <v>29</v>
      </c>
      <c r="K605">
        <v>22.57</v>
      </c>
      <c r="L605">
        <v>22.8</v>
      </c>
      <c r="M605">
        <v>8412596</v>
      </c>
      <c r="N605">
        <v>8472706</v>
      </c>
      <c r="O605">
        <v>113</v>
      </c>
      <c r="P605">
        <v>113</v>
      </c>
      <c r="Q605">
        <v>13753816</v>
      </c>
      <c r="R605">
        <v>13703637</v>
      </c>
      <c r="S605">
        <v>9484282</v>
      </c>
      <c r="T605">
        <v>9378546</v>
      </c>
      <c r="U605">
        <v>0</v>
      </c>
      <c r="V605">
        <v>0</v>
      </c>
      <c r="W605">
        <v>0</v>
      </c>
      <c r="X605">
        <v>0</v>
      </c>
      <c r="Y605">
        <v>10722479</v>
      </c>
      <c r="Z605">
        <v>10830851</v>
      </c>
      <c r="AA605">
        <f t="shared" si="19"/>
        <v>-50179</v>
      </c>
      <c r="AB605">
        <f t="shared" si="18"/>
        <v>-0.36483692962011416</v>
      </c>
    </row>
    <row r="606" spans="1:28">
      <c r="A606" t="s">
        <v>39</v>
      </c>
      <c r="B606" s="2">
        <v>45261</v>
      </c>
      <c r="C606" s="2">
        <v>45231</v>
      </c>
      <c r="D606" s="2">
        <v>45344</v>
      </c>
      <c r="E606">
        <v>23969330</v>
      </c>
      <c r="F606">
        <v>23869818</v>
      </c>
      <c r="G606">
        <v>-99512</v>
      </c>
      <c r="H606">
        <v>95.03</v>
      </c>
      <c r="I606">
        <v>170000</v>
      </c>
      <c r="J606" t="s">
        <v>29</v>
      </c>
      <c r="K606">
        <v>17.239999999999998</v>
      </c>
      <c r="L606">
        <v>17.41</v>
      </c>
      <c r="M606">
        <v>5685525</v>
      </c>
      <c r="N606">
        <v>5696375</v>
      </c>
      <c r="O606">
        <v>0</v>
      </c>
      <c r="P606">
        <v>0</v>
      </c>
      <c r="Q606">
        <v>5475184</v>
      </c>
      <c r="R606">
        <v>5421655</v>
      </c>
      <c r="S606">
        <v>2135168</v>
      </c>
      <c r="T606">
        <v>2026790</v>
      </c>
      <c r="U606">
        <v>0</v>
      </c>
      <c r="V606">
        <v>0</v>
      </c>
      <c r="W606">
        <v>0</v>
      </c>
      <c r="X606">
        <v>0</v>
      </c>
      <c r="Y606">
        <v>10673453</v>
      </c>
      <c r="Z606">
        <v>10724998</v>
      </c>
      <c r="AA606">
        <f t="shared" si="19"/>
        <v>-53529</v>
      </c>
      <c r="AB606">
        <f t="shared" si="18"/>
        <v>-0.97766577342423555</v>
      </c>
    </row>
    <row r="607" spans="1:28">
      <c r="A607" t="s">
        <v>40</v>
      </c>
      <c r="B607" s="2">
        <v>45261</v>
      </c>
      <c r="C607" s="2">
        <v>45231</v>
      </c>
      <c r="D607" s="2">
        <v>45344</v>
      </c>
      <c r="E607">
        <v>77966667</v>
      </c>
      <c r="F607">
        <v>78361042</v>
      </c>
      <c r="G607">
        <v>394375</v>
      </c>
      <c r="H607">
        <v>85.66</v>
      </c>
      <c r="I607">
        <v>1080000</v>
      </c>
      <c r="J607" t="s">
        <v>29</v>
      </c>
      <c r="K607">
        <v>70.239999999999995</v>
      </c>
      <c r="L607">
        <v>71.319999999999993</v>
      </c>
      <c r="M607">
        <v>15804052</v>
      </c>
      <c r="N607">
        <v>15898273</v>
      </c>
      <c r="O607">
        <v>0</v>
      </c>
      <c r="P607">
        <v>0</v>
      </c>
      <c r="Q607">
        <v>15954356</v>
      </c>
      <c r="R607">
        <v>15839576</v>
      </c>
      <c r="S607">
        <v>4866660</v>
      </c>
      <c r="T607">
        <v>4808578</v>
      </c>
      <c r="U607">
        <v>0</v>
      </c>
      <c r="V607">
        <v>0</v>
      </c>
      <c r="W607">
        <v>0</v>
      </c>
      <c r="X607">
        <v>0</v>
      </c>
      <c r="Y607">
        <v>41341599</v>
      </c>
      <c r="Z607">
        <v>41814615</v>
      </c>
      <c r="AA607">
        <f t="shared" si="19"/>
        <v>-114780</v>
      </c>
      <c r="AB607">
        <f t="shared" si="18"/>
        <v>-0.71942734636233518</v>
      </c>
    </row>
    <row r="608" spans="1:28">
      <c r="A608" t="s">
        <v>41</v>
      </c>
      <c r="B608" s="2">
        <v>45261</v>
      </c>
      <c r="C608" s="2">
        <v>45231</v>
      </c>
      <c r="D608" s="2">
        <v>45344</v>
      </c>
      <c r="E608">
        <v>93467183</v>
      </c>
      <c r="F608">
        <v>93389426</v>
      </c>
      <c r="G608">
        <v>-77757</v>
      </c>
      <c r="H608">
        <v>92.95</v>
      </c>
      <c r="I608">
        <v>1000000</v>
      </c>
      <c r="J608" t="s">
        <v>29</v>
      </c>
      <c r="K608">
        <v>75.25</v>
      </c>
      <c r="L608">
        <v>76.25</v>
      </c>
      <c r="M608">
        <v>21434762</v>
      </c>
      <c r="N608">
        <v>21533174</v>
      </c>
      <c r="O608">
        <v>0</v>
      </c>
      <c r="P608">
        <v>0</v>
      </c>
      <c r="Q608">
        <v>23088405</v>
      </c>
      <c r="R608">
        <v>22913859</v>
      </c>
      <c r="S608">
        <v>5932278</v>
      </c>
      <c r="T608">
        <v>5857052</v>
      </c>
      <c r="U608">
        <v>0</v>
      </c>
      <c r="V608">
        <v>0</v>
      </c>
      <c r="W608">
        <v>0</v>
      </c>
      <c r="X608">
        <v>0</v>
      </c>
      <c r="Y608">
        <v>43011738</v>
      </c>
      <c r="Z608">
        <v>43085341</v>
      </c>
      <c r="AA608">
        <f t="shared" si="19"/>
        <v>-174546</v>
      </c>
      <c r="AB608">
        <f t="shared" si="18"/>
        <v>-0.75598985724652701</v>
      </c>
    </row>
    <row r="609" spans="1:28">
      <c r="A609" t="s">
        <v>42</v>
      </c>
      <c r="B609" s="2">
        <v>45261</v>
      </c>
      <c r="C609" s="2">
        <v>45231</v>
      </c>
      <c r="D609" s="2">
        <v>45344</v>
      </c>
      <c r="E609">
        <v>34212979</v>
      </c>
      <c r="F609">
        <v>34350373</v>
      </c>
      <c r="G609">
        <v>137394</v>
      </c>
      <c r="H609">
        <v>68.69</v>
      </c>
      <c r="I609">
        <v>260000</v>
      </c>
      <c r="J609" t="s">
        <v>29</v>
      </c>
      <c r="K609">
        <v>32.06</v>
      </c>
      <c r="L609">
        <v>32.32</v>
      </c>
      <c r="M609">
        <v>9998440</v>
      </c>
      <c r="N609">
        <v>9994591</v>
      </c>
      <c r="O609">
        <v>877</v>
      </c>
      <c r="P609">
        <v>877</v>
      </c>
      <c r="Q609">
        <v>11259219</v>
      </c>
      <c r="R609">
        <v>11254136</v>
      </c>
      <c r="S609">
        <v>0</v>
      </c>
      <c r="T609">
        <v>0</v>
      </c>
      <c r="U609">
        <v>0</v>
      </c>
      <c r="V609">
        <v>0</v>
      </c>
      <c r="W609">
        <v>255964</v>
      </c>
      <c r="X609">
        <v>251914</v>
      </c>
      <c r="Y609">
        <v>12698479</v>
      </c>
      <c r="Z609">
        <v>12848855</v>
      </c>
      <c r="AA609">
        <f t="shared" si="19"/>
        <v>-5083</v>
      </c>
      <c r="AB609">
        <f t="shared" si="18"/>
        <v>-4.5145227213361783E-2</v>
      </c>
    </row>
    <row r="610" spans="1:28">
      <c r="A610" t="s">
        <v>43</v>
      </c>
      <c r="B610" s="2">
        <v>45261</v>
      </c>
      <c r="C610" s="2">
        <v>45231</v>
      </c>
      <c r="D610" s="2">
        <v>45344</v>
      </c>
      <c r="E610">
        <v>12388370</v>
      </c>
      <c r="F610">
        <v>12472885</v>
      </c>
      <c r="G610">
        <v>84515</v>
      </c>
      <c r="H610">
        <v>95.14</v>
      </c>
      <c r="I610">
        <v>20000</v>
      </c>
      <c r="J610" t="s">
        <v>29</v>
      </c>
      <c r="K610">
        <v>2.11</v>
      </c>
      <c r="L610">
        <v>2.13</v>
      </c>
      <c r="M610">
        <v>6144465</v>
      </c>
      <c r="N610">
        <v>6217335</v>
      </c>
      <c r="O610">
        <v>0</v>
      </c>
      <c r="P610">
        <v>0</v>
      </c>
      <c r="Q610">
        <v>831926</v>
      </c>
      <c r="R610">
        <v>811436</v>
      </c>
      <c r="S610">
        <v>1247564</v>
      </c>
      <c r="T610">
        <v>1252368</v>
      </c>
      <c r="U610">
        <v>0</v>
      </c>
      <c r="V610">
        <v>0</v>
      </c>
      <c r="W610">
        <v>0</v>
      </c>
      <c r="X610">
        <v>0</v>
      </c>
      <c r="Y610">
        <v>4164415</v>
      </c>
      <c r="Z610">
        <v>4191746</v>
      </c>
      <c r="AA610">
        <f t="shared" si="19"/>
        <v>-20490</v>
      </c>
      <c r="AB610">
        <f t="shared" si="18"/>
        <v>-2.4629594459122566</v>
      </c>
    </row>
    <row r="611" spans="1:28">
      <c r="A611" t="s">
        <v>44</v>
      </c>
      <c r="B611" s="2">
        <v>45261</v>
      </c>
      <c r="C611" s="2">
        <v>45231</v>
      </c>
      <c r="D611" s="2">
        <v>45344</v>
      </c>
      <c r="E611">
        <v>33150591</v>
      </c>
      <c r="F611">
        <v>33265627</v>
      </c>
      <c r="G611">
        <v>115036</v>
      </c>
      <c r="H611">
        <v>95.41</v>
      </c>
      <c r="I611">
        <v>160000</v>
      </c>
      <c r="J611" t="s">
        <v>29</v>
      </c>
      <c r="K611">
        <v>16.36</v>
      </c>
      <c r="L611">
        <v>16.52</v>
      </c>
      <c r="M611">
        <v>11460253</v>
      </c>
      <c r="N611">
        <v>11462775</v>
      </c>
      <c r="O611">
        <v>29</v>
      </c>
      <c r="P611">
        <v>29</v>
      </c>
      <c r="Q611">
        <v>1526680</v>
      </c>
      <c r="R611">
        <v>1501230</v>
      </c>
      <c r="S611">
        <v>5452631</v>
      </c>
      <c r="T611">
        <v>5450152</v>
      </c>
      <c r="U611">
        <v>0</v>
      </c>
      <c r="V611">
        <v>0</v>
      </c>
      <c r="W611">
        <v>0</v>
      </c>
      <c r="X611">
        <v>0</v>
      </c>
      <c r="Y611">
        <v>14710998</v>
      </c>
      <c r="Z611">
        <v>14851441</v>
      </c>
      <c r="AA611">
        <f t="shared" si="19"/>
        <v>-25450</v>
      </c>
      <c r="AB611">
        <f t="shared" si="18"/>
        <v>-1.6670160085938115</v>
      </c>
    </row>
    <row r="612" spans="1:28">
      <c r="A612" t="s">
        <v>45</v>
      </c>
      <c r="B612" s="2">
        <v>45261</v>
      </c>
      <c r="C612" s="2">
        <v>45231</v>
      </c>
      <c r="D612" s="2">
        <v>45344</v>
      </c>
      <c r="E612">
        <v>34989916</v>
      </c>
      <c r="F612">
        <v>35132773</v>
      </c>
      <c r="G612">
        <v>142857</v>
      </c>
      <c r="H612">
        <v>93.17</v>
      </c>
      <c r="I612">
        <v>300000</v>
      </c>
      <c r="J612" t="s">
        <v>29</v>
      </c>
      <c r="K612">
        <v>31.15</v>
      </c>
      <c r="L612">
        <v>31.45</v>
      </c>
      <c r="M612">
        <v>12487975</v>
      </c>
      <c r="N612">
        <v>12532709</v>
      </c>
      <c r="O612">
        <v>106</v>
      </c>
      <c r="P612">
        <v>106</v>
      </c>
      <c r="Q612">
        <v>6597101</v>
      </c>
      <c r="R612">
        <v>6545598</v>
      </c>
      <c r="S612">
        <v>4018254</v>
      </c>
      <c r="T612">
        <v>4118815</v>
      </c>
      <c r="U612">
        <v>0</v>
      </c>
      <c r="V612">
        <v>0</v>
      </c>
      <c r="W612">
        <v>0</v>
      </c>
      <c r="X612">
        <v>0</v>
      </c>
      <c r="Y612">
        <v>11886480</v>
      </c>
      <c r="Z612">
        <v>11935545</v>
      </c>
      <c r="AA612">
        <f t="shared" si="19"/>
        <v>-51503</v>
      </c>
      <c r="AB612">
        <f t="shared" si="18"/>
        <v>-0.78069139763056528</v>
      </c>
    </row>
    <row r="613" spans="1:28">
      <c r="A613" t="s">
        <v>46</v>
      </c>
      <c r="B613" s="2">
        <v>45261</v>
      </c>
      <c r="C613" s="2">
        <v>45231</v>
      </c>
      <c r="D613" s="2">
        <v>45344</v>
      </c>
      <c r="E613">
        <v>65754130</v>
      </c>
      <c r="F613">
        <v>66034242</v>
      </c>
      <c r="G613">
        <v>280112</v>
      </c>
      <c r="H613">
        <v>93</v>
      </c>
      <c r="I613">
        <v>730000</v>
      </c>
      <c r="J613" t="s">
        <v>29</v>
      </c>
      <c r="K613">
        <v>63.4</v>
      </c>
      <c r="L613">
        <v>64.13</v>
      </c>
      <c r="M613">
        <v>22968577</v>
      </c>
      <c r="N613">
        <v>23079164</v>
      </c>
      <c r="O613">
        <v>155</v>
      </c>
      <c r="P613">
        <v>155</v>
      </c>
      <c r="Q613">
        <v>11132160</v>
      </c>
      <c r="R613">
        <v>11008394</v>
      </c>
      <c r="S613">
        <v>5640275</v>
      </c>
      <c r="T613">
        <v>5660820</v>
      </c>
      <c r="U613">
        <v>0</v>
      </c>
      <c r="V613">
        <v>0</v>
      </c>
      <c r="W613">
        <v>0</v>
      </c>
      <c r="X613">
        <v>0</v>
      </c>
      <c r="Y613">
        <v>26012963</v>
      </c>
      <c r="Z613">
        <v>26285709</v>
      </c>
      <c r="AA613">
        <f t="shared" si="19"/>
        <v>-123766</v>
      </c>
      <c r="AB613">
        <f t="shared" si="18"/>
        <v>-1.1117878291364838</v>
      </c>
    </row>
    <row r="614" spans="1:28">
      <c r="A614" t="s">
        <v>47</v>
      </c>
      <c r="B614" s="2">
        <v>45261</v>
      </c>
      <c r="C614" s="2">
        <v>45231</v>
      </c>
      <c r="D614" s="2">
        <v>45344</v>
      </c>
      <c r="E614">
        <v>78036576</v>
      </c>
      <c r="F614">
        <v>78215805</v>
      </c>
      <c r="G614">
        <v>179229</v>
      </c>
      <c r="H614">
        <v>91.73</v>
      </c>
      <c r="I614">
        <v>630000</v>
      </c>
      <c r="J614" t="s">
        <v>29</v>
      </c>
      <c r="K614">
        <v>59.62</v>
      </c>
      <c r="L614">
        <v>60.25</v>
      </c>
      <c r="M614">
        <v>28959220</v>
      </c>
      <c r="N614">
        <v>29098516</v>
      </c>
      <c r="O614">
        <v>238</v>
      </c>
      <c r="P614">
        <v>238</v>
      </c>
      <c r="Q614">
        <v>16092353</v>
      </c>
      <c r="R614">
        <v>15960200</v>
      </c>
      <c r="S614">
        <v>7531699</v>
      </c>
      <c r="T614">
        <v>7506630</v>
      </c>
      <c r="U614">
        <v>175984</v>
      </c>
      <c r="V614">
        <v>176911</v>
      </c>
      <c r="W614">
        <v>0</v>
      </c>
      <c r="X614">
        <v>0</v>
      </c>
      <c r="Y614">
        <v>25277082</v>
      </c>
      <c r="Z614">
        <v>25473310</v>
      </c>
      <c r="AA614">
        <f t="shared" si="19"/>
        <v>-132153</v>
      </c>
      <c r="AB614">
        <f t="shared" si="18"/>
        <v>-0.82121613911899649</v>
      </c>
    </row>
    <row r="615" spans="1:28">
      <c r="A615" t="s">
        <v>48</v>
      </c>
      <c r="B615" s="2">
        <v>45261</v>
      </c>
      <c r="C615" s="2">
        <v>45231</v>
      </c>
      <c r="D615" s="2">
        <v>45344</v>
      </c>
      <c r="E615">
        <v>100565186</v>
      </c>
      <c r="F615">
        <v>101519328</v>
      </c>
      <c r="G615">
        <v>954142</v>
      </c>
      <c r="H615">
        <v>90.97</v>
      </c>
      <c r="I615">
        <v>1650000</v>
      </c>
      <c r="J615" t="s">
        <v>29</v>
      </c>
      <c r="K615">
        <v>83.78</v>
      </c>
      <c r="L615">
        <v>85.43</v>
      </c>
      <c r="M615">
        <v>36788686</v>
      </c>
      <c r="N615">
        <v>37050222</v>
      </c>
      <c r="O615">
        <v>0</v>
      </c>
      <c r="P615">
        <v>0</v>
      </c>
      <c r="Q615">
        <v>17445631</v>
      </c>
      <c r="R615">
        <v>17377795</v>
      </c>
      <c r="S615">
        <v>8096363</v>
      </c>
      <c r="T615">
        <v>8244426</v>
      </c>
      <c r="U615">
        <v>0</v>
      </c>
      <c r="V615">
        <v>0</v>
      </c>
      <c r="W615">
        <v>0</v>
      </c>
      <c r="X615">
        <v>0</v>
      </c>
      <c r="Y615">
        <v>38234506</v>
      </c>
      <c r="Z615">
        <v>38846885</v>
      </c>
      <c r="AA615">
        <f t="shared" si="19"/>
        <v>-67836</v>
      </c>
      <c r="AB615">
        <f t="shared" si="18"/>
        <v>-0.38884234109961402</v>
      </c>
    </row>
    <row r="616" spans="1:28">
      <c r="A616" t="s">
        <v>49</v>
      </c>
      <c r="B616" s="2">
        <v>45261</v>
      </c>
      <c r="C616" s="2">
        <v>45231</v>
      </c>
      <c r="D616" s="2">
        <v>45344</v>
      </c>
      <c r="E616">
        <v>62628505</v>
      </c>
      <c r="F616">
        <v>62985046</v>
      </c>
      <c r="G616">
        <v>356541</v>
      </c>
      <c r="H616">
        <v>89.39</v>
      </c>
      <c r="I616">
        <v>1150000</v>
      </c>
      <c r="J616" t="s">
        <v>29</v>
      </c>
      <c r="K616">
        <v>64.349999999999994</v>
      </c>
      <c r="L616">
        <v>65.5</v>
      </c>
      <c r="M616">
        <v>18551962</v>
      </c>
      <c r="N616">
        <v>18663992</v>
      </c>
      <c r="O616">
        <v>8</v>
      </c>
      <c r="P616">
        <v>8</v>
      </c>
      <c r="Q616">
        <v>15625011</v>
      </c>
      <c r="R616">
        <v>15566328</v>
      </c>
      <c r="S616">
        <v>4934370</v>
      </c>
      <c r="T616">
        <v>4940774</v>
      </c>
      <c r="U616">
        <v>0</v>
      </c>
      <c r="V616">
        <v>0</v>
      </c>
      <c r="W616">
        <v>0</v>
      </c>
      <c r="X616">
        <v>0</v>
      </c>
      <c r="Y616">
        <v>23517154</v>
      </c>
      <c r="Z616">
        <v>23813944</v>
      </c>
      <c r="AA616">
        <f t="shared" si="19"/>
        <v>-58683</v>
      </c>
      <c r="AB616">
        <f t="shared" si="18"/>
        <v>-0.37557093559806132</v>
      </c>
    </row>
    <row r="617" spans="1:28">
      <c r="A617" t="s">
        <v>50</v>
      </c>
      <c r="B617" s="2">
        <v>45261</v>
      </c>
      <c r="C617" s="2">
        <v>45231</v>
      </c>
      <c r="D617" s="2">
        <v>45344</v>
      </c>
      <c r="E617">
        <v>57198445</v>
      </c>
      <c r="F617">
        <v>57312093</v>
      </c>
      <c r="G617">
        <v>113648</v>
      </c>
      <c r="H617">
        <v>91.46</v>
      </c>
      <c r="I617">
        <v>930000</v>
      </c>
      <c r="J617" t="s">
        <v>29</v>
      </c>
      <c r="K617">
        <v>51.26</v>
      </c>
      <c r="L617">
        <v>52.19</v>
      </c>
      <c r="M617">
        <v>17655998</v>
      </c>
      <c r="N617">
        <v>17779617</v>
      </c>
      <c r="O617">
        <v>115</v>
      </c>
      <c r="P617">
        <v>115</v>
      </c>
      <c r="Q617">
        <v>13451400</v>
      </c>
      <c r="R617">
        <v>13315440</v>
      </c>
      <c r="S617">
        <v>2388783</v>
      </c>
      <c r="T617">
        <v>2339459</v>
      </c>
      <c r="U617">
        <v>0</v>
      </c>
      <c r="V617">
        <v>0</v>
      </c>
      <c r="W617">
        <v>0</v>
      </c>
      <c r="X617">
        <v>0</v>
      </c>
      <c r="Y617">
        <v>23702149</v>
      </c>
      <c r="Z617">
        <v>23877462</v>
      </c>
      <c r="AA617">
        <f t="shared" si="19"/>
        <v>-135960</v>
      </c>
      <c r="AB617">
        <f t="shared" si="18"/>
        <v>-1.0107498104286543</v>
      </c>
    </row>
    <row r="618" spans="1:28">
      <c r="A618" t="s">
        <v>28</v>
      </c>
      <c r="B618" s="2">
        <v>45292</v>
      </c>
      <c r="C618" s="2">
        <v>45261</v>
      </c>
      <c r="D618" s="2">
        <v>45383</v>
      </c>
      <c r="E618">
        <v>83054333</v>
      </c>
      <c r="F618">
        <v>83371517</v>
      </c>
      <c r="G618">
        <v>317184</v>
      </c>
      <c r="H618">
        <v>92.99</v>
      </c>
      <c r="I618">
        <v>590000</v>
      </c>
      <c r="J618" t="s">
        <v>29</v>
      </c>
      <c r="K618">
        <v>63.43</v>
      </c>
      <c r="L618">
        <v>64.02</v>
      </c>
      <c r="M618">
        <v>33456471</v>
      </c>
      <c r="N618">
        <v>33574662</v>
      </c>
      <c r="O618">
        <v>0</v>
      </c>
      <c r="P618">
        <v>0</v>
      </c>
      <c r="Q618">
        <v>10889776</v>
      </c>
      <c r="R618">
        <v>10845127</v>
      </c>
      <c r="S618">
        <v>6526093</v>
      </c>
      <c r="T618">
        <v>6509947</v>
      </c>
      <c r="U618">
        <v>0</v>
      </c>
      <c r="V618">
        <v>0</v>
      </c>
      <c r="W618">
        <v>0</v>
      </c>
      <c r="X618">
        <v>0</v>
      </c>
      <c r="Y618">
        <v>32181993</v>
      </c>
      <c r="Z618">
        <v>32441781</v>
      </c>
      <c r="AA618">
        <f t="shared" si="19"/>
        <v>-44649</v>
      </c>
      <c r="AB618">
        <f t="shared" si="18"/>
        <v>-0.41000843359863415</v>
      </c>
    </row>
    <row r="619" spans="1:28">
      <c r="A619" t="s">
        <v>30</v>
      </c>
      <c r="B619" s="2">
        <v>45292</v>
      </c>
      <c r="C619" s="2">
        <v>45261</v>
      </c>
      <c r="D619" s="2">
        <v>45383</v>
      </c>
      <c r="E619">
        <v>25733635</v>
      </c>
      <c r="F619">
        <v>25898870</v>
      </c>
      <c r="G619">
        <v>165235</v>
      </c>
      <c r="H619">
        <v>95.62</v>
      </c>
      <c r="I619">
        <v>90000</v>
      </c>
      <c r="J619" t="s">
        <v>29</v>
      </c>
      <c r="K619">
        <v>6.64</v>
      </c>
      <c r="L619">
        <v>6.73</v>
      </c>
      <c r="M619">
        <v>11635040</v>
      </c>
      <c r="N619">
        <v>11676769</v>
      </c>
      <c r="O619">
        <v>0</v>
      </c>
      <c r="P619">
        <v>0</v>
      </c>
      <c r="Q619">
        <v>1689221</v>
      </c>
      <c r="R619">
        <v>1638260</v>
      </c>
      <c r="S619">
        <v>3135849</v>
      </c>
      <c r="T619">
        <v>3130298</v>
      </c>
      <c r="U619">
        <v>0</v>
      </c>
      <c r="V619">
        <v>0</v>
      </c>
      <c r="W619">
        <v>0</v>
      </c>
      <c r="X619">
        <v>0</v>
      </c>
      <c r="Y619">
        <v>9273525</v>
      </c>
      <c r="Z619">
        <v>9453543</v>
      </c>
      <c r="AA619">
        <f t="shared" si="19"/>
        <v>-50961</v>
      </c>
      <c r="AB619">
        <f t="shared" si="18"/>
        <v>-3.0168343869748244</v>
      </c>
    </row>
    <row r="620" spans="1:28">
      <c r="A620" t="s">
        <v>31</v>
      </c>
      <c r="B620" s="2">
        <v>45292</v>
      </c>
      <c r="C620" s="2">
        <v>45261</v>
      </c>
      <c r="D620" s="2">
        <v>45383</v>
      </c>
      <c r="E620">
        <v>94055852</v>
      </c>
      <c r="F620">
        <v>94533854</v>
      </c>
      <c r="G620">
        <v>478002</v>
      </c>
      <c r="H620">
        <v>89.52</v>
      </c>
      <c r="I620">
        <v>850000</v>
      </c>
      <c r="J620" t="s">
        <v>29</v>
      </c>
      <c r="K620">
        <v>50.65</v>
      </c>
      <c r="L620">
        <v>51.5</v>
      </c>
      <c r="M620">
        <v>41196724</v>
      </c>
      <c r="N620">
        <v>41219965</v>
      </c>
      <c r="O620">
        <v>0</v>
      </c>
      <c r="P620">
        <v>0</v>
      </c>
      <c r="Q620">
        <v>7685625</v>
      </c>
      <c r="R620">
        <v>7635909</v>
      </c>
      <c r="S620">
        <v>5212767</v>
      </c>
      <c r="T620">
        <v>5184286</v>
      </c>
      <c r="U620">
        <v>0</v>
      </c>
      <c r="V620">
        <v>0</v>
      </c>
      <c r="W620">
        <v>0</v>
      </c>
      <c r="X620">
        <v>0</v>
      </c>
      <c r="Y620">
        <v>39960736</v>
      </c>
      <c r="Z620">
        <v>40493694</v>
      </c>
      <c r="AA620">
        <f t="shared" si="19"/>
        <v>-49716</v>
      </c>
      <c r="AB620">
        <f t="shared" si="18"/>
        <v>-0.64686996828494758</v>
      </c>
    </row>
    <row r="621" spans="1:28">
      <c r="A621" t="s">
        <v>32</v>
      </c>
      <c r="B621" s="2">
        <v>45292</v>
      </c>
      <c r="C621" s="2">
        <v>45261</v>
      </c>
      <c r="D621" s="2">
        <v>45383</v>
      </c>
      <c r="E621">
        <v>56006580</v>
      </c>
      <c r="F621">
        <v>56242631</v>
      </c>
      <c r="G621">
        <v>236051</v>
      </c>
      <c r="H621">
        <v>60.64</v>
      </c>
      <c r="I621">
        <v>610000</v>
      </c>
      <c r="J621" t="s">
        <v>29</v>
      </c>
      <c r="K621">
        <v>44.52</v>
      </c>
      <c r="L621">
        <v>45.13</v>
      </c>
      <c r="M621">
        <v>17944995</v>
      </c>
      <c r="N621">
        <v>17997887</v>
      </c>
      <c r="O621">
        <v>23</v>
      </c>
      <c r="P621">
        <v>20</v>
      </c>
      <c r="Q621">
        <v>16594404</v>
      </c>
      <c r="R621">
        <v>16552965</v>
      </c>
      <c r="S621">
        <v>0</v>
      </c>
      <c r="T621">
        <v>0</v>
      </c>
      <c r="U621">
        <v>0</v>
      </c>
      <c r="V621">
        <v>0</v>
      </c>
      <c r="W621">
        <v>1686812</v>
      </c>
      <c r="X621">
        <v>1686497</v>
      </c>
      <c r="Y621">
        <v>19780346</v>
      </c>
      <c r="Z621">
        <v>20005262</v>
      </c>
      <c r="AA621">
        <f t="shared" si="19"/>
        <v>-41439</v>
      </c>
      <c r="AB621">
        <f t="shared" si="18"/>
        <v>-0.24971671173005067</v>
      </c>
    </row>
    <row r="622" spans="1:28">
      <c r="A622" t="s">
        <v>33</v>
      </c>
      <c r="B622" s="2">
        <v>45292</v>
      </c>
      <c r="C622" s="2">
        <v>45261</v>
      </c>
      <c r="D622" s="2">
        <v>45383</v>
      </c>
      <c r="E622">
        <v>66405351</v>
      </c>
      <c r="F622">
        <v>66029737</v>
      </c>
      <c r="G622">
        <v>-375614</v>
      </c>
      <c r="H622">
        <v>94.26</v>
      </c>
      <c r="I622">
        <v>880000</v>
      </c>
      <c r="J622" t="s">
        <v>29</v>
      </c>
      <c r="K622">
        <v>63.25</v>
      </c>
      <c r="L622">
        <v>64.13</v>
      </c>
      <c r="M622">
        <v>11696221</v>
      </c>
      <c r="N622">
        <v>11763034</v>
      </c>
      <c r="O622">
        <v>43</v>
      </c>
      <c r="P622">
        <v>39</v>
      </c>
      <c r="Q622">
        <v>20936910</v>
      </c>
      <c r="R622">
        <v>20856409</v>
      </c>
      <c r="S622">
        <v>4408539</v>
      </c>
      <c r="T622">
        <v>3717156</v>
      </c>
      <c r="U622">
        <v>0</v>
      </c>
      <c r="V622">
        <v>0</v>
      </c>
      <c r="W622">
        <v>0</v>
      </c>
      <c r="X622">
        <v>0</v>
      </c>
      <c r="Y622">
        <v>29363638</v>
      </c>
      <c r="Z622">
        <v>29693099</v>
      </c>
      <c r="AA622">
        <f t="shared" si="19"/>
        <v>-80501</v>
      </c>
      <c r="AB622">
        <f t="shared" si="18"/>
        <v>-0.38449322273439585</v>
      </c>
    </row>
    <row r="623" spans="1:28">
      <c r="A623" t="s">
        <v>34</v>
      </c>
      <c r="B623" s="2">
        <v>45292</v>
      </c>
      <c r="C623" s="2">
        <v>45261</v>
      </c>
      <c r="D623" s="2">
        <v>45383</v>
      </c>
      <c r="E623">
        <v>26666465</v>
      </c>
      <c r="F623">
        <v>26724992</v>
      </c>
      <c r="G623">
        <v>58527</v>
      </c>
      <c r="H623">
        <v>91.97</v>
      </c>
      <c r="I623">
        <v>370000</v>
      </c>
      <c r="J623" t="s">
        <v>29</v>
      </c>
      <c r="K623">
        <v>29.5</v>
      </c>
      <c r="L623">
        <v>29.87</v>
      </c>
      <c r="M623">
        <v>6913441</v>
      </c>
      <c r="N623">
        <v>6928123</v>
      </c>
      <c r="O623">
        <v>11</v>
      </c>
      <c r="P623">
        <v>7</v>
      </c>
      <c r="Q623">
        <v>6848050</v>
      </c>
      <c r="R623">
        <v>6797157</v>
      </c>
      <c r="S623">
        <v>4334735</v>
      </c>
      <c r="T623">
        <v>4367449</v>
      </c>
      <c r="U623">
        <v>0</v>
      </c>
      <c r="V623">
        <v>0</v>
      </c>
      <c r="W623">
        <v>0</v>
      </c>
      <c r="X623">
        <v>0</v>
      </c>
      <c r="Y623">
        <v>8570228</v>
      </c>
      <c r="Z623">
        <v>8632256</v>
      </c>
      <c r="AA623">
        <f t="shared" si="19"/>
        <v>-50893</v>
      </c>
      <c r="AB623">
        <f t="shared" si="18"/>
        <v>-0.74317506443440107</v>
      </c>
    </row>
    <row r="624" spans="1:28">
      <c r="A624" t="s">
        <v>35</v>
      </c>
      <c r="B624" s="2">
        <v>45292</v>
      </c>
      <c r="C624" s="2">
        <v>45261</v>
      </c>
      <c r="D624" s="2">
        <v>45383</v>
      </c>
      <c r="E624">
        <v>8851068</v>
      </c>
      <c r="F624">
        <v>8832346</v>
      </c>
      <c r="G624">
        <v>-18722</v>
      </c>
      <c r="H624">
        <v>104.94</v>
      </c>
      <c r="I624">
        <v>40000</v>
      </c>
      <c r="J624" t="s">
        <v>29</v>
      </c>
      <c r="K624">
        <v>4.01</v>
      </c>
      <c r="L624">
        <v>4.05</v>
      </c>
      <c r="M624">
        <v>3565663</v>
      </c>
      <c r="N624">
        <v>3566475</v>
      </c>
      <c r="O624">
        <v>92</v>
      </c>
      <c r="P624">
        <v>90</v>
      </c>
      <c r="Q624">
        <v>404470</v>
      </c>
      <c r="R624">
        <v>402557</v>
      </c>
      <c r="S624">
        <v>1549857</v>
      </c>
      <c r="T624">
        <v>1522917</v>
      </c>
      <c r="U624">
        <v>0</v>
      </c>
      <c r="V624">
        <v>0</v>
      </c>
      <c r="W624">
        <v>0</v>
      </c>
      <c r="X624">
        <v>0</v>
      </c>
      <c r="Y624">
        <v>3330986</v>
      </c>
      <c r="Z624">
        <v>3340307</v>
      </c>
      <c r="AA624">
        <f t="shared" si="19"/>
        <v>-1913</v>
      </c>
      <c r="AB624">
        <f t="shared" si="18"/>
        <v>-0.47296462036739439</v>
      </c>
    </row>
    <row r="625" spans="1:28">
      <c r="A625" t="s">
        <v>36</v>
      </c>
      <c r="B625" s="2">
        <v>45292</v>
      </c>
      <c r="C625" s="2">
        <v>45261</v>
      </c>
      <c r="D625" s="2">
        <v>45383</v>
      </c>
      <c r="E625">
        <v>12167341</v>
      </c>
      <c r="F625">
        <v>12077174</v>
      </c>
      <c r="G625">
        <v>-90167</v>
      </c>
      <c r="H625">
        <v>85.09</v>
      </c>
      <c r="I625">
        <v>70000</v>
      </c>
      <c r="J625" t="s">
        <v>29</v>
      </c>
      <c r="K625">
        <v>2.27</v>
      </c>
      <c r="L625">
        <v>2.34</v>
      </c>
      <c r="M625">
        <v>5889912</v>
      </c>
      <c r="N625">
        <v>5883713</v>
      </c>
      <c r="O625">
        <v>0</v>
      </c>
      <c r="P625">
        <v>0</v>
      </c>
      <c r="Q625">
        <v>302053</v>
      </c>
      <c r="R625">
        <v>299926</v>
      </c>
      <c r="S625">
        <v>802417</v>
      </c>
      <c r="T625">
        <v>794052</v>
      </c>
      <c r="U625">
        <v>0</v>
      </c>
      <c r="V625">
        <v>0</v>
      </c>
      <c r="W625">
        <v>0</v>
      </c>
      <c r="X625">
        <v>0</v>
      </c>
      <c r="Y625">
        <v>5172959</v>
      </c>
      <c r="Z625">
        <v>5099483</v>
      </c>
      <c r="AA625">
        <f t="shared" si="19"/>
        <v>-2127</v>
      </c>
      <c r="AB625">
        <f t="shared" si="18"/>
        <v>-0.70418105431828193</v>
      </c>
    </row>
    <row r="626" spans="1:28">
      <c r="A626" t="s">
        <v>37</v>
      </c>
      <c r="B626" s="2">
        <v>45292</v>
      </c>
      <c r="C626" s="2">
        <v>45261</v>
      </c>
      <c r="D626" s="2">
        <v>45383</v>
      </c>
      <c r="E626">
        <v>66253570</v>
      </c>
      <c r="F626">
        <v>66580562</v>
      </c>
      <c r="G626">
        <v>326992</v>
      </c>
      <c r="H626">
        <v>83.85</v>
      </c>
      <c r="I626">
        <v>550000</v>
      </c>
      <c r="J626" t="s">
        <v>29</v>
      </c>
      <c r="K626">
        <v>65.209999999999994</v>
      </c>
      <c r="L626">
        <v>65.760000000000005</v>
      </c>
      <c r="M626">
        <v>31952810</v>
      </c>
      <c r="N626">
        <v>32016281</v>
      </c>
      <c r="O626">
        <v>574</v>
      </c>
      <c r="P626">
        <v>549</v>
      </c>
      <c r="Q626">
        <v>6478767</v>
      </c>
      <c r="R626">
        <v>6499154</v>
      </c>
      <c r="S626">
        <v>4224679</v>
      </c>
      <c r="T626">
        <v>4226753</v>
      </c>
      <c r="U626">
        <v>0</v>
      </c>
      <c r="V626">
        <v>0</v>
      </c>
      <c r="W626">
        <v>0</v>
      </c>
      <c r="X626">
        <v>0</v>
      </c>
      <c r="Y626">
        <v>23596740</v>
      </c>
      <c r="Z626">
        <v>23837825</v>
      </c>
      <c r="AA626">
        <f t="shared" si="19"/>
        <v>20387</v>
      </c>
      <c r="AB626">
        <f t="shared" si="18"/>
        <v>0.31467407301420164</v>
      </c>
    </row>
    <row r="627" spans="1:28">
      <c r="A627" t="s">
        <v>38</v>
      </c>
      <c r="B627" s="2">
        <v>45292</v>
      </c>
      <c r="C627" s="2">
        <v>45261</v>
      </c>
      <c r="D627" s="2">
        <v>45383</v>
      </c>
      <c r="E627">
        <v>42385853</v>
      </c>
      <c r="F627">
        <v>42372887</v>
      </c>
      <c r="G627">
        <v>-12966</v>
      </c>
      <c r="H627">
        <v>94.47</v>
      </c>
      <c r="I627">
        <v>240000</v>
      </c>
      <c r="J627" t="s">
        <v>29</v>
      </c>
      <c r="K627">
        <v>22.8</v>
      </c>
      <c r="L627">
        <v>23.04</v>
      </c>
      <c r="M627">
        <v>8472706</v>
      </c>
      <c r="N627">
        <v>8514603</v>
      </c>
      <c r="O627">
        <v>113</v>
      </c>
      <c r="P627">
        <v>100</v>
      </c>
      <c r="Q627">
        <v>13703637</v>
      </c>
      <c r="R627">
        <v>13657471</v>
      </c>
      <c r="S627">
        <v>9378546</v>
      </c>
      <c r="T627">
        <v>9281824</v>
      </c>
      <c r="U627">
        <v>0</v>
      </c>
      <c r="V627">
        <v>0</v>
      </c>
      <c r="W627">
        <v>0</v>
      </c>
      <c r="X627">
        <v>0</v>
      </c>
      <c r="Y627">
        <v>10830851</v>
      </c>
      <c r="Z627">
        <v>10918889</v>
      </c>
      <c r="AA627">
        <f t="shared" si="19"/>
        <v>-46166</v>
      </c>
      <c r="AB627">
        <f t="shared" si="18"/>
        <v>-0.33688866685537566</v>
      </c>
    </row>
    <row r="628" spans="1:28">
      <c r="A628" t="s">
        <v>39</v>
      </c>
      <c r="B628" s="2">
        <v>45292</v>
      </c>
      <c r="C628" s="2">
        <v>45261</v>
      </c>
      <c r="D628" s="2">
        <v>45383</v>
      </c>
      <c r="E628">
        <v>23869818</v>
      </c>
      <c r="F628">
        <v>23871216</v>
      </c>
      <c r="G628">
        <v>1398</v>
      </c>
      <c r="H628">
        <v>95.44</v>
      </c>
      <c r="I628">
        <v>170000</v>
      </c>
      <c r="J628" t="s">
        <v>29</v>
      </c>
      <c r="K628">
        <v>17.41</v>
      </c>
      <c r="L628">
        <v>17.579999999999998</v>
      </c>
      <c r="M628">
        <v>5696375</v>
      </c>
      <c r="N628">
        <v>5682729</v>
      </c>
      <c r="O628">
        <v>0</v>
      </c>
      <c r="P628">
        <v>0</v>
      </c>
      <c r="Q628">
        <v>5421655</v>
      </c>
      <c r="R628">
        <v>5345800</v>
      </c>
      <c r="S628">
        <v>2026790</v>
      </c>
      <c r="T628">
        <v>1989503</v>
      </c>
      <c r="U628">
        <v>0</v>
      </c>
      <c r="V628">
        <v>0</v>
      </c>
      <c r="W628">
        <v>0</v>
      </c>
      <c r="X628">
        <v>0</v>
      </c>
      <c r="Y628">
        <v>10724998</v>
      </c>
      <c r="Z628">
        <v>10853184</v>
      </c>
      <c r="AA628">
        <f t="shared" si="19"/>
        <v>-75855</v>
      </c>
      <c r="AB628">
        <f t="shared" si="18"/>
        <v>-1.3991115259086018</v>
      </c>
    </row>
    <row r="629" spans="1:28">
      <c r="A629" t="s">
        <v>40</v>
      </c>
      <c r="B629" s="2">
        <v>45292</v>
      </c>
      <c r="C629" s="2">
        <v>45261</v>
      </c>
      <c r="D629" s="2">
        <v>45383</v>
      </c>
      <c r="E629">
        <v>78361042</v>
      </c>
      <c r="F629">
        <v>78723895</v>
      </c>
      <c r="G629">
        <v>362853</v>
      </c>
      <c r="H629">
        <v>85.44</v>
      </c>
      <c r="I629">
        <v>1070000</v>
      </c>
      <c r="J629" t="s">
        <v>29</v>
      </c>
      <c r="K629">
        <v>71.319999999999993</v>
      </c>
      <c r="L629">
        <v>72.39</v>
      </c>
      <c r="M629">
        <v>15898273</v>
      </c>
      <c r="N629">
        <v>15982845</v>
      </c>
      <c r="O629">
        <v>0</v>
      </c>
      <c r="P629">
        <v>0</v>
      </c>
      <c r="Q629">
        <v>15839576</v>
      </c>
      <c r="R629">
        <v>15699573</v>
      </c>
      <c r="S629">
        <v>4808578</v>
      </c>
      <c r="T629">
        <v>4740747</v>
      </c>
      <c r="U629">
        <v>0</v>
      </c>
      <c r="V629">
        <v>0</v>
      </c>
      <c r="W629">
        <v>0</v>
      </c>
      <c r="X629">
        <v>0</v>
      </c>
      <c r="Y629">
        <v>41814615</v>
      </c>
      <c r="Z629">
        <v>42300730</v>
      </c>
      <c r="AA629">
        <f t="shared" si="19"/>
        <v>-140003</v>
      </c>
      <c r="AB629">
        <f t="shared" si="18"/>
        <v>-0.8838809826727686</v>
      </c>
    </row>
    <row r="630" spans="1:28">
      <c r="A630" t="s">
        <v>41</v>
      </c>
      <c r="B630" s="2">
        <v>45292</v>
      </c>
      <c r="C630" s="2">
        <v>45261</v>
      </c>
      <c r="D630" s="2">
        <v>45383</v>
      </c>
      <c r="E630">
        <v>93389426</v>
      </c>
      <c r="F630">
        <v>93321302</v>
      </c>
      <c r="G630">
        <v>-68124</v>
      </c>
      <c r="H630">
        <v>93.48</v>
      </c>
      <c r="I630">
        <v>1000000</v>
      </c>
      <c r="J630" t="s">
        <v>29</v>
      </c>
      <c r="K630">
        <v>76.25</v>
      </c>
      <c r="L630">
        <v>77.25</v>
      </c>
      <c r="M630">
        <v>21533174</v>
      </c>
      <c r="N630">
        <v>21602792</v>
      </c>
      <c r="O630">
        <v>0</v>
      </c>
      <c r="P630">
        <v>0</v>
      </c>
      <c r="Q630">
        <v>22913859</v>
      </c>
      <c r="R630">
        <v>22614053</v>
      </c>
      <c r="S630">
        <v>5857052</v>
      </c>
      <c r="T630">
        <v>5879904</v>
      </c>
      <c r="U630">
        <v>0</v>
      </c>
      <c r="V630">
        <v>0</v>
      </c>
      <c r="W630">
        <v>0</v>
      </c>
      <c r="X630">
        <v>0</v>
      </c>
      <c r="Y630">
        <v>43085341</v>
      </c>
      <c r="Z630">
        <v>43224553</v>
      </c>
      <c r="AA630">
        <f t="shared" si="19"/>
        <v>-299806</v>
      </c>
      <c r="AB630">
        <f t="shared" si="18"/>
        <v>-1.3084046646180374</v>
      </c>
    </row>
    <row r="631" spans="1:28">
      <c r="A631" t="s">
        <v>42</v>
      </c>
      <c r="B631" s="2">
        <v>45292</v>
      </c>
      <c r="C631" s="2">
        <v>45261</v>
      </c>
      <c r="D631" s="2">
        <v>45383</v>
      </c>
      <c r="E631">
        <v>34350373</v>
      </c>
      <c r="F631">
        <v>34269932</v>
      </c>
      <c r="G631">
        <v>-80441</v>
      </c>
      <c r="H631">
        <v>70.78</v>
      </c>
      <c r="I631">
        <v>280000</v>
      </c>
      <c r="J631" t="s">
        <v>29</v>
      </c>
      <c r="K631">
        <v>32.32</v>
      </c>
      <c r="L631">
        <v>32.6</v>
      </c>
      <c r="M631">
        <v>9994591</v>
      </c>
      <c r="N631">
        <v>9985385</v>
      </c>
      <c r="O631">
        <v>877</v>
      </c>
      <c r="P631">
        <v>604</v>
      </c>
      <c r="Q631">
        <v>11254136</v>
      </c>
      <c r="R631">
        <v>11117377</v>
      </c>
      <c r="S631">
        <v>0</v>
      </c>
      <c r="T631">
        <v>0</v>
      </c>
      <c r="U631">
        <v>0</v>
      </c>
      <c r="V631">
        <v>0</v>
      </c>
      <c r="W631">
        <v>251914</v>
      </c>
      <c r="X631">
        <v>247836</v>
      </c>
      <c r="Y631">
        <v>12848855</v>
      </c>
      <c r="Z631">
        <v>12918730</v>
      </c>
      <c r="AA631">
        <f t="shared" si="19"/>
        <v>-136759</v>
      </c>
      <c r="AB631">
        <f t="shared" si="18"/>
        <v>-1.2151887981449665</v>
      </c>
    </row>
    <row r="632" spans="1:28">
      <c r="A632" t="s">
        <v>43</v>
      </c>
      <c r="B632" s="2">
        <v>45292</v>
      </c>
      <c r="C632" s="2">
        <v>45261</v>
      </c>
      <c r="D632" s="2">
        <v>45383</v>
      </c>
      <c r="E632">
        <v>12472885</v>
      </c>
      <c r="F632">
        <v>12469760</v>
      </c>
      <c r="G632">
        <v>-3125</v>
      </c>
      <c r="H632">
        <v>94.08</v>
      </c>
      <c r="I632">
        <v>20000</v>
      </c>
      <c r="J632" t="s">
        <v>29</v>
      </c>
      <c r="K632">
        <v>2.13</v>
      </c>
      <c r="L632">
        <v>2.15</v>
      </c>
      <c r="M632">
        <v>6217335</v>
      </c>
      <c r="N632">
        <v>6214956</v>
      </c>
      <c r="O632">
        <v>0</v>
      </c>
      <c r="P632">
        <v>0</v>
      </c>
      <c r="Q632">
        <v>811436</v>
      </c>
      <c r="R632">
        <v>790585</v>
      </c>
      <c r="S632">
        <v>1252368</v>
      </c>
      <c r="T632">
        <v>1244179</v>
      </c>
      <c r="U632">
        <v>0</v>
      </c>
      <c r="V632">
        <v>0</v>
      </c>
      <c r="W632">
        <v>0</v>
      </c>
      <c r="X632">
        <v>0</v>
      </c>
      <c r="Y632">
        <v>4191746</v>
      </c>
      <c r="Z632">
        <v>4220040</v>
      </c>
      <c r="AA632">
        <f t="shared" si="19"/>
        <v>-20851</v>
      </c>
      <c r="AB632">
        <f t="shared" si="18"/>
        <v>-2.5696419680664895</v>
      </c>
    </row>
    <row r="633" spans="1:28">
      <c r="A633" t="s">
        <v>44</v>
      </c>
      <c r="B633" s="2">
        <v>45292</v>
      </c>
      <c r="C633" s="2">
        <v>45261</v>
      </c>
      <c r="D633" s="2">
        <v>45383</v>
      </c>
      <c r="E633">
        <v>33265627</v>
      </c>
      <c r="F633">
        <v>33412470</v>
      </c>
      <c r="G633">
        <v>146843</v>
      </c>
      <c r="H633">
        <v>96.5</v>
      </c>
      <c r="I633">
        <v>170000</v>
      </c>
      <c r="J633" t="s">
        <v>29</v>
      </c>
      <c r="K633">
        <v>16.52</v>
      </c>
      <c r="L633">
        <v>16.690000000000001</v>
      </c>
      <c r="M633">
        <v>11462775</v>
      </c>
      <c r="N633">
        <v>11501940</v>
      </c>
      <c r="O633">
        <v>29</v>
      </c>
      <c r="P633">
        <v>24</v>
      </c>
      <c r="Q633">
        <v>1501230</v>
      </c>
      <c r="R633">
        <v>1478271</v>
      </c>
      <c r="S633">
        <v>5450152</v>
      </c>
      <c r="T633">
        <v>5450059</v>
      </c>
      <c r="U633">
        <v>0</v>
      </c>
      <c r="V633">
        <v>0</v>
      </c>
      <c r="W633">
        <v>0</v>
      </c>
      <c r="X633">
        <v>0</v>
      </c>
      <c r="Y633">
        <v>14851441</v>
      </c>
      <c r="Z633">
        <v>14982176</v>
      </c>
      <c r="AA633">
        <f t="shared" si="19"/>
        <v>-22959</v>
      </c>
      <c r="AB633">
        <f t="shared" si="18"/>
        <v>-1.5293459363322075</v>
      </c>
    </row>
    <row r="634" spans="1:28">
      <c r="A634" t="s">
        <v>45</v>
      </c>
      <c r="B634" s="2">
        <v>45292</v>
      </c>
      <c r="C634" s="2">
        <v>45261</v>
      </c>
      <c r="D634" s="2">
        <v>45383</v>
      </c>
      <c r="E634">
        <v>35132773</v>
      </c>
      <c r="F634">
        <v>35221995</v>
      </c>
      <c r="G634">
        <v>89222</v>
      </c>
      <c r="H634">
        <v>93.71</v>
      </c>
      <c r="I634">
        <v>320000</v>
      </c>
      <c r="J634" t="s">
        <v>29</v>
      </c>
      <c r="K634">
        <v>31.45</v>
      </c>
      <c r="L634">
        <v>31.77</v>
      </c>
      <c r="M634">
        <v>12532709</v>
      </c>
      <c r="N634">
        <v>12541225</v>
      </c>
      <c r="O634">
        <v>106</v>
      </c>
      <c r="P634">
        <v>99</v>
      </c>
      <c r="Q634">
        <v>6545598</v>
      </c>
      <c r="R634">
        <v>6506089</v>
      </c>
      <c r="S634">
        <v>4118815</v>
      </c>
      <c r="T634">
        <v>4153406</v>
      </c>
      <c r="U634">
        <v>0</v>
      </c>
      <c r="V634">
        <v>0</v>
      </c>
      <c r="W634">
        <v>0</v>
      </c>
      <c r="X634">
        <v>0</v>
      </c>
      <c r="Y634">
        <v>11935545</v>
      </c>
      <c r="Z634">
        <v>12021176</v>
      </c>
      <c r="AA634">
        <f t="shared" si="19"/>
        <v>-39509</v>
      </c>
      <c r="AB634">
        <f t="shared" si="18"/>
        <v>-0.60359649339907528</v>
      </c>
    </row>
    <row r="635" spans="1:28">
      <c r="A635" t="s">
        <v>46</v>
      </c>
      <c r="B635" s="2">
        <v>45292</v>
      </c>
      <c r="C635" s="2">
        <v>45261</v>
      </c>
      <c r="D635" s="2">
        <v>45383</v>
      </c>
      <c r="E635">
        <v>66034242</v>
      </c>
      <c r="F635">
        <v>66174535</v>
      </c>
      <c r="G635">
        <v>140293</v>
      </c>
      <c r="H635">
        <v>93.14</v>
      </c>
      <c r="I635">
        <v>750000</v>
      </c>
      <c r="J635" t="s">
        <v>29</v>
      </c>
      <c r="K635">
        <v>64.13</v>
      </c>
      <c r="L635">
        <v>64.88</v>
      </c>
      <c r="M635">
        <v>23079164</v>
      </c>
      <c r="N635">
        <v>23202594</v>
      </c>
      <c r="O635">
        <v>155</v>
      </c>
      <c r="P635">
        <v>151</v>
      </c>
      <c r="Q635">
        <v>11008394</v>
      </c>
      <c r="R635">
        <v>10788187</v>
      </c>
      <c r="S635">
        <v>5660820</v>
      </c>
      <c r="T635">
        <v>5658798</v>
      </c>
      <c r="U635">
        <v>0</v>
      </c>
      <c r="V635">
        <v>0</v>
      </c>
      <c r="W635">
        <v>0</v>
      </c>
      <c r="X635">
        <v>0</v>
      </c>
      <c r="Y635">
        <v>26285709</v>
      </c>
      <c r="Z635">
        <v>26524805</v>
      </c>
      <c r="AA635">
        <f t="shared" si="19"/>
        <v>-220207</v>
      </c>
      <c r="AB635">
        <f t="shared" si="18"/>
        <v>-2.000355365187692</v>
      </c>
    </row>
    <row r="636" spans="1:28">
      <c r="A636" t="s">
        <v>47</v>
      </c>
      <c r="B636" s="2">
        <v>45292</v>
      </c>
      <c r="C636" s="2">
        <v>45261</v>
      </c>
      <c r="D636" s="2">
        <v>45383</v>
      </c>
      <c r="E636">
        <v>78215805</v>
      </c>
      <c r="F636">
        <v>78282520</v>
      </c>
      <c r="G636">
        <v>66715</v>
      </c>
      <c r="H636">
        <v>91.21</v>
      </c>
      <c r="I636">
        <v>560000</v>
      </c>
      <c r="J636" t="s">
        <v>29</v>
      </c>
      <c r="K636">
        <v>60.25</v>
      </c>
      <c r="L636">
        <v>60.81</v>
      </c>
      <c r="M636">
        <v>29098516</v>
      </c>
      <c r="N636">
        <v>29152903</v>
      </c>
      <c r="O636">
        <v>238</v>
      </c>
      <c r="P636">
        <v>213</v>
      </c>
      <c r="Q636">
        <v>15960200</v>
      </c>
      <c r="R636">
        <v>15857377</v>
      </c>
      <c r="S636">
        <v>7506630</v>
      </c>
      <c r="T636">
        <v>7485773</v>
      </c>
      <c r="U636">
        <v>176911</v>
      </c>
      <c r="V636">
        <v>179740</v>
      </c>
      <c r="W636">
        <v>0</v>
      </c>
      <c r="X636">
        <v>0</v>
      </c>
      <c r="Y636">
        <v>25473310</v>
      </c>
      <c r="Z636">
        <v>25606514</v>
      </c>
      <c r="AA636">
        <f t="shared" si="19"/>
        <v>-102823</v>
      </c>
      <c r="AB636">
        <f t="shared" si="18"/>
        <v>-0.64424631270284827</v>
      </c>
    </row>
    <row r="637" spans="1:28">
      <c r="A637" t="s">
        <v>48</v>
      </c>
      <c r="B637" s="2">
        <v>45292</v>
      </c>
      <c r="C637" s="2">
        <v>45261</v>
      </c>
      <c r="D637" s="2">
        <v>45383</v>
      </c>
      <c r="E637">
        <v>101519328</v>
      </c>
      <c r="F637">
        <v>101608717</v>
      </c>
      <c r="G637">
        <v>89389</v>
      </c>
      <c r="H637">
        <v>88.33</v>
      </c>
      <c r="I637">
        <v>1640000</v>
      </c>
      <c r="J637" t="s">
        <v>29</v>
      </c>
      <c r="K637">
        <v>85.43</v>
      </c>
      <c r="L637">
        <v>87.07</v>
      </c>
      <c r="M637">
        <v>37050222</v>
      </c>
      <c r="N637">
        <v>36929390</v>
      </c>
      <c r="O637">
        <v>0</v>
      </c>
      <c r="P637">
        <v>0</v>
      </c>
      <c r="Q637">
        <v>17377795</v>
      </c>
      <c r="R637">
        <v>17365697</v>
      </c>
      <c r="S637">
        <v>8244426</v>
      </c>
      <c r="T637">
        <v>7983694</v>
      </c>
      <c r="U637">
        <v>0</v>
      </c>
      <c r="V637">
        <v>0</v>
      </c>
      <c r="W637">
        <v>0</v>
      </c>
      <c r="X637">
        <v>0</v>
      </c>
      <c r="Y637">
        <v>38846885</v>
      </c>
      <c r="Z637">
        <v>39329936</v>
      </c>
      <c r="AA637">
        <f t="shared" si="19"/>
        <v>-12098</v>
      </c>
      <c r="AB637">
        <f t="shared" si="18"/>
        <v>-6.9617578064420718E-2</v>
      </c>
    </row>
    <row r="638" spans="1:28">
      <c r="A638" t="s">
        <v>49</v>
      </c>
      <c r="B638" s="2">
        <v>45292</v>
      </c>
      <c r="C638" s="2">
        <v>45261</v>
      </c>
      <c r="D638" s="2">
        <v>45383</v>
      </c>
      <c r="E638">
        <v>62985046</v>
      </c>
      <c r="F638">
        <v>63156648</v>
      </c>
      <c r="G638">
        <v>171602</v>
      </c>
      <c r="H638">
        <v>89.13</v>
      </c>
      <c r="I638">
        <v>1170000</v>
      </c>
      <c r="J638" t="s">
        <v>29</v>
      </c>
      <c r="K638">
        <v>65.5</v>
      </c>
      <c r="L638">
        <v>66.67</v>
      </c>
      <c r="M638">
        <v>18663992</v>
      </c>
      <c r="N638">
        <v>18694147</v>
      </c>
      <c r="O638">
        <v>8</v>
      </c>
      <c r="P638">
        <v>5</v>
      </c>
      <c r="Q638">
        <v>15566328</v>
      </c>
      <c r="R638">
        <v>15547610</v>
      </c>
      <c r="S638">
        <v>4940774</v>
      </c>
      <c r="T638">
        <v>4927032</v>
      </c>
      <c r="U638">
        <v>0</v>
      </c>
      <c r="V638">
        <v>0</v>
      </c>
      <c r="W638">
        <v>0</v>
      </c>
      <c r="X638">
        <v>0</v>
      </c>
      <c r="Y638">
        <v>23813944</v>
      </c>
      <c r="Z638">
        <v>23987854</v>
      </c>
      <c r="AA638">
        <f t="shared" si="19"/>
        <v>-18718</v>
      </c>
      <c r="AB638">
        <f t="shared" si="18"/>
        <v>-0.12024672742344887</v>
      </c>
    </row>
    <row r="639" spans="1:28">
      <c r="A639" t="s">
        <v>50</v>
      </c>
      <c r="B639" s="2">
        <v>45292</v>
      </c>
      <c r="C639" s="2">
        <v>45261</v>
      </c>
      <c r="D639" s="2">
        <v>45383</v>
      </c>
      <c r="E639">
        <v>57312093</v>
      </c>
      <c r="F639">
        <v>57533350</v>
      </c>
      <c r="G639">
        <v>221257</v>
      </c>
      <c r="H639">
        <v>90.7</v>
      </c>
      <c r="I639">
        <v>940000</v>
      </c>
      <c r="J639" t="s">
        <v>29</v>
      </c>
      <c r="K639">
        <v>52.19</v>
      </c>
      <c r="L639">
        <v>53.13</v>
      </c>
      <c r="M639">
        <v>17779617</v>
      </c>
      <c r="N639">
        <v>17851161</v>
      </c>
      <c r="O639">
        <v>115</v>
      </c>
      <c r="P639">
        <v>76</v>
      </c>
      <c r="Q639">
        <v>13315440</v>
      </c>
      <c r="R639">
        <v>13230448</v>
      </c>
      <c r="S639">
        <v>2339459</v>
      </c>
      <c r="T639">
        <v>2346957</v>
      </c>
      <c r="U639">
        <v>0</v>
      </c>
      <c r="V639">
        <v>0</v>
      </c>
      <c r="W639">
        <v>0</v>
      </c>
      <c r="X639">
        <v>0</v>
      </c>
      <c r="Y639">
        <v>23877462</v>
      </c>
      <c r="Z639">
        <v>24104708</v>
      </c>
      <c r="AA639">
        <f t="shared" si="19"/>
        <v>-84992</v>
      </c>
      <c r="AB639">
        <f t="shared" si="18"/>
        <v>-0.63829659402918715</v>
      </c>
    </row>
    <row r="640" spans="1:28">
      <c r="A640" t="s">
        <v>28</v>
      </c>
      <c r="B640" s="2">
        <v>45323</v>
      </c>
      <c r="C640" s="2">
        <v>45292</v>
      </c>
      <c r="D640" s="2">
        <v>45390</v>
      </c>
      <c r="E640">
        <v>83371517</v>
      </c>
      <c r="F640">
        <v>83655012</v>
      </c>
      <c r="G640">
        <v>283495</v>
      </c>
      <c r="H640">
        <v>92.3</v>
      </c>
      <c r="I640">
        <v>530000</v>
      </c>
      <c r="J640" t="s">
        <v>29</v>
      </c>
      <c r="K640">
        <v>64.02</v>
      </c>
      <c r="L640">
        <v>64.55</v>
      </c>
      <c r="M640">
        <v>33574662</v>
      </c>
      <c r="N640">
        <v>33650768</v>
      </c>
      <c r="O640">
        <v>0</v>
      </c>
      <c r="P640">
        <v>0</v>
      </c>
      <c r="Q640">
        <v>10845127</v>
      </c>
      <c r="R640">
        <v>10824137</v>
      </c>
      <c r="S640">
        <v>6509947</v>
      </c>
      <c r="T640">
        <v>6540254</v>
      </c>
      <c r="U640">
        <v>0</v>
      </c>
      <c r="V640">
        <v>0</v>
      </c>
      <c r="W640">
        <v>0</v>
      </c>
      <c r="X640">
        <v>0</v>
      </c>
      <c r="Y640">
        <v>32441781</v>
      </c>
      <c r="Z640">
        <v>32639853</v>
      </c>
      <c r="AA640">
        <f t="shared" si="19"/>
        <v>-20990</v>
      </c>
      <c r="AB640">
        <f t="shared" si="18"/>
        <v>-0.19354314615218429</v>
      </c>
    </row>
    <row r="641" spans="1:28">
      <c r="A641" t="s">
        <v>30</v>
      </c>
      <c r="B641" s="2">
        <v>45323</v>
      </c>
      <c r="C641" s="2">
        <v>45292</v>
      </c>
      <c r="D641" s="2">
        <v>45390</v>
      </c>
      <c r="E641">
        <v>25898870</v>
      </c>
      <c r="F641">
        <v>26209396</v>
      </c>
      <c r="G641">
        <v>310526</v>
      </c>
      <c r="H641">
        <v>96.18</v>
      </c>
      <c r="I641">
        <v>80000</v>
      </c>
      <c r="J641" t="s">
        <v>29</v>
      </c>
      <c r="K641">
        <v>6.73</v>
      </c>
      <c r="L641">
        <v>6.81</v>
      </c>
      <c r="M641">
        <v>11676769</v>
      </c>
      <c r="N641">
        <v>11744084</v>
      </c>
      <c r="O641">
        <v>0</v>
      </c>
      <c r="P641">
        <v>0</v>
      </c>
      <c r="Q641">
        <v>1638260</v>
      </c>
      <c r="R641">
        <v>1593928</v>
      </c>
      <c r="S641">
        <v>3130298</v>
      </c>
      <c r="T641">
        <v>3127976</v>
      </c>
      <c r="U641">
        <v>0</v>
      </c>
      <c r="V641">
        <v>0</v>
      </c>
      <c r="W641">
        <v>0</v>
      </c>
      <c r="X641">
        <v>0</v>
      </c>
      <c r="Y641">
        <v>9453543</v>
      </c>
      <c r="Z641">
        <v>9743408</v>
      </c>
      <c r="AA641">
        <f t="shared" si="19"/>
        <v>-44332</v>
      </c>
      <c r="AB641">
        <f t="shared" si="18"/>
        <v>-2.7060417760306668</v>
      </c>
    </row>
    <row r="642" spans="1:28">
      <c r="A642" t="s">
        <v>31</v>
      </c>
      <c r="B642" s="2">
        <v>45323</v>
      </c>
      <c r="C642" s="2">
        <v>45292</v>
      </c>
      <c r="D642" s="2">
        <v>45390</v>
      </c>
      <c r="E642">
        <v>94533854</v>
      </c>
      <c r="F642">
        <v>94870099</v>
      </c>
      <c r="G642">
        <v>336245</v>
      </c>
      <c r="H642">
        <v>88.32</v>
      </c>
      <c r="I642">
        <v>820000</v>
      </c>
      <c r="J642" t="s">
        <v>29</v>
      </c>
      <c r="K642">
        <v>51.5</v>
      </c>
      <c r="L642">
        <v>52.32</v>
      </c>
      <c r="M642">
        <v>41219965</v>
      </c>
      <c r="N642">
        <v>41415483</v>
      </c>
      <c r="O642">
        <v>0</v>
      </c>
      <c r="P642">
        <v>0</v>
      </c>
      <c r="Q642">
        <v>7635909</v>
      </c>
      <c r="R642">
        <v>7613568</v>
      </c>
      <c r="S642">
        <v>5184286</v>
      </c>
      <c r="T642">
        <v>5202006</v>
      </c>
      <c r="U642">
        <v>0</v>
      </c>
      <c r="V642">
        <v>0</v>
      </c>
      <c r="W642">
        <v>0</v>
      </c>
      <c r="X642">
        <v>0</v>
      </c>
      <c r="Y642">
        <v>40493694</v>
      </c>
      <c r="Z642">
        <v>40639042</v>
      </c>
      <c r="AA642">
        <f t="shared" si="19"/>
        <v>-22341</v>
      </c>
      <c r="AB642">
        <f t="shared" si="18"/>
        <v>-0.29257813313385478</v>
      </c>
    </row>
    <row r="643" spans="1:28">
      <c r="A643" t="s">
        <v>32</v>
      </c>
      <c r="B643" s="2">
        <v>45323</v>
      </c>
      <c r="C643" s="2">
        <v>45292</v>
      </c>
      <c r="D643" s="2">
        <v>45390</v>
      </c>
      <c r="E643">
        <v>56242631</v>
      </c>
      <c r="F643">
        <v>56517206</v>
      </c>
      <c r="G643">
        <v>274575</v>
      </c>
      <c r="H643">
        <v>60.49</v>
      </c>
      <c r="I643">
        <v>570000</v>
      </c>
      <c r="J643" t="s">
        <v>29</v>
      </c>
      <c r="K643">
        <v>45.13</v>
      </c>
      <c r="L643">
        <v>45.7</v>
      </c>
      <c r="M643">
        <v>17997887</v>
      </c>
      <c r="N643">
        <v>18094479</v>
      </c>
      <c r="O643">
        <v>20</v>
      </c>
      <c r="P643">
        <v>20</v>
      </c>
      <c r="Q643">
        <v>16552965</v>
      </c>
      <c r="R643">
        <v>16523781</v>
      </c>
      <c r="S643">
        <v>0</v>
      </c>
      <c r="T643">
        <v>0</v>
      </c>
      <c r="U643">
        <v>0</v>
      </c>
      <c r="V643">
        <v>0</v>
      </c>
      <c r="W643">
        <v>1686497</v>
      </c>
      <c r="X643">
        <v>1686179</v>
      </c>
      <c r="Y643">
        <v>20005262</v>
      </c>
      <c r="Z643">
        <v>20212747</v>
      </c>
      <c r="AA643">
        <f t="shared" si="19"/>
        <v>-29184</v>
      </c>
      <c r="AB643">
        <f t="shared" ref="AB643:AB706" si="20">(($R643-$Q643)/$Q643)*100</f>
        <v>-0.1763067825008994</v>
      </c>
    </row>
    <row r="644" spans="1:28">
      <c r="A644" t="s">
        <v>33</v>
      </c>
      <c r="B644" s="2">
        <v>45323</v>
      </c>
      <c r="C644" s="2">
        <v>45292</v>
      </c>
      <c r="D644" s="2">
        <v>45390</v>
      </c>
      <c r="E644">
        <v>66029737</v>
      </c>
      <c r="F644">
        <v>66356949</v>
      </c>
      <c r="G644">
        <v>327212</v>
      </c>
      <c r="H644">
        <v>93.66</v>
      </c>
      <c r="I644">
        <v>770000</v>
      </c>
      <c r="J644" t="s">
        <v>29</v>
      </c>
      <c r="K644">
        <v>64.13</v>
      </c>
      <c r="L644">
        <v>64.900000000000006</v>
      </c>
      <c r="M644">
        <v>11763034</v>
      </c>
      <c r="N644">
        <v>11814734</v>
      </c>
      <c r="O644">
        <v>39</v>
      </c>
      <c r="P644">
        <v>39</v>
      </c>
      <c r="Q644">
        <v>20856409</v>
      </c>
      <c r="R644">
        <v>20820623</v>
      </c>
      <c r="S644">
        <v>3717156</v>
      </c>
      <c r="T644">
        <v>3727863</v>
      </c>
      <c r="U644">
        <v>0</v>
      </c>
      <c r="V644">
        <v>0</v>
      </c>
      <c r="W644">
        <v>0</v>
      </c>
      <c r="X644">
        <v>0</v>
      </c>
      <c r="Y644">
        <v>29693099</v>
      </c>
      <c r="Z644">
        <v>29993690</v>
      </c>
      <c r="AA644">
        <f t="shared" ref="AA644:AA707" si="21">$R644-$Q644</f>
        <v>-35786</v>
      </c>
      <c r="AB644">
        <f t="shared" si="20"/>
        <v>-0.17158274945605451</v>
      </c>
    </row>
    <row r="645" spans="1:28">
      <c r="A645" t="s">
        <v>34</v>
      </c>
      <c r="B645" s="2">
        <v>45323</v>
      </c>
      <c r="C645" s="2">
        <v>45292</v>
      </c>
      <c r="D645" s="2">
        <v>45390</v>
      </c>
      <c r="E645">
        <v>26724992</v>
      </c>
      <c r="F645">
        <v>26717297</v>
      </c>
      <c r="G645">
        <v>-7695</v>
      </c>
      <c r="H645">
        <v>91.93</v>
      </c>
      <c r="I645">
        <v>310000</v>
      </c>
      <c r="J645" t="s">
        <v>29</v>
      </c>
      <c r="K645">
        <v>29.87</v>
      </c>
      <c r="L645">
        <v>30.18</v>
      </c>
      <c r="M645">
        <v>6928123</v>
      </c>
      <c r="N645">
        <v>6974944</v>
      </c>
      <c r="O645">
        <v>7</v>
      </c>
      <c r="P645">
        <v>7</v>
      </c>
      <c r="Q645">
        <v>6797157</v>
      </c>
      <c r="R645">
        <v>6764967</v>
      </c>
      <c r="S645">
        <v>4367449</v>
      </c>
      <c r="T645">
        <v>4300321</v>
      </c>
      <c r="U645">
        <v>0</v>
      </c>
      <c r="V645">
        <v>0</v>
      </c>
      <c r="W645">
        <v>0</v>
      </c>
      <c r="X645">
        <v>0</v>
      </c>
      <c r="Y645">
        <v>8632256</v>
      </c>
      <c r="Z645">
        <v>8677058</v>
      </c>
      <c r="AA645">
        <f t="shared" si="21"/>
        <v>-32190</v>
      </c>
      <c r="AB645">
        <f t="shared" si="20"/>
        <v>-0.47358035131452758</v>
      </c>
    </row>
    <row r="646" spans="1:28">
      <c r="A646" t="s">
        <v>35</v>
      </c>
      <c r="B646" s="2">
        <v>45323</v>
      </c>
      <c r="C646" s="2">
        <v>45292</v>
      </c>
      <c r="D646" s="2">
        <v>45390</v>
      </c>
      <c r="E646">
        <v>8832346</v>
      </c>
      <c r="F646">
        <v>8839065</v>
      </c>
      <c r="G646">
        <v>6719</v>
      </c>
      <c r="H646">
        <v>101.89</v>
      </c>
      <c r="I646">
        <v>40000</v>
      </c>
      <c r="J646" t="s">
        <v>29</v>
      </c>
      <c r="K646">
        <v>4.05</v>
      </c>
      <c r="L646">
        <v>4.09</v>
      </c>
      <c r="M646">
        <v>3566475</v>
      </c>
      <c r="N646">
        <v>3570642</v>
      </c>
      <c r="O646">
        <v>90</v>
      </c>
      <c r="P646">
        <v>90</v>
      </c>
      <c r="Q646">
        <v>402557</v>
      </c>
      <c r="R646">
        <v>401167</v>
      </c>
      <c r="S646">
        <v>1522917</v>
      </c>
      <c r="T646">
        <v>1527016</v>
      </c>
      <c r="U646">
        <v>0</v>
      </c>
      <c r="V646">
        <v>0</v>
      </c>
      <c r="W646">
        <v>0</v>
      </c>
      <c r="X646">
        <v>0</v>
      </c>
      <c r="Y646">
        <v>3340307</v>
      </c>
      <c r="Z646">
        <v>3340150</v>
      </c>
      <c r="AA646">
        <f t="shared" si="21"/>
        <v>-1390</v>
      </c>
      <c r="AB646">
        <f t="shared" si="20"/>
        <v>-0.34529271631098207</v>
      </c>
    </row>
    <row r="647" spans="1:28">
      <c r="A647" t="s">
        <v>36</v>
      </c>
      <c r="B647" s="2">
        <v>45323</v>
      </c>
      <c r="C647" s="2">
        <v>45292</v>
      </c>
      <c r="D647" s="2">
        <v>45390</v>
      </c>
      <c r="E647">
        <v>12077174</v>
      </c>
      <c r="F647">
        <v>12034028</v>
      </c>
      <c r="G647">
        <v>-43146</v>
      </c>
      <c r="H647">
        <v>84.04</v>
      </c>
      <c r="I647">
        <v>60000</v>
      </c>
      <c r="J647" t="s">
        <v>29</v>
      </c>
      <c r="K647">
        <v>2.34</v>
      </c>
      <c r="L647">
        <v>2.4</v>
      </c>
      <c r="M647">
        <v>5883713</v>
      </c>
      <c r="N647">
        <v>5890199</v>
      </c>
      <c r="O647">
        <v>0</v>
      </c>
      <c r="P647">
        <v>0</v>
      </c>
      <c r="Q647">
        <v>299926</v>
      </c>
      <c r="R647">
        <v>296689</v>
      </c>
      <c r="S647">
        <v>794052</v>
      </c>
      <c r="T647">
        <v>789339</v>
      </c>
      <c r="U647">
        <v>0</v>
      </c>
      <c r="V647">
        <v>0</v>
      </c>
      <c r="W647">
        <v>0</v>
      </c>
      <c r="X647">
        <v>0</v>
      </c>
      <c r="Y647">
        <v>5099483</v>
      </c>
      <c r="Z647">
        <v>5057801</v>
      </c>
      <c r="AA647">
        <f t="shared" si="21"/>
        <v>-3237</v>
      </c>
      <c r="AB647">
        <f t="shared" si="20"/>
        <v>-1.0792662190006868</v>
      </c>
    </row>
    <row r="648" spans="1:28">
      <c r="A648" t="s">
        <v>37</v>
      </c>
      <c r="B648" s="2">
        <v>45323</v>
      </c>
      <c r="C648" s="2">
        <v>45292</v>
      </c>
      <c r="D648" s="2">
        <v>45390</v>
      </c>
      <c r="E648">
        <v>66580562</v>
      </c>
      <c r="F648">
        <v>66800022</v>
      </c>
      <c r="G648">
        <v>219460</v>
      </c>
      <c r="H648">
        <v>82.98</v>
      </c>
      <c r="I648">
        <v>500000</v>
      </c>
      <c r="J648" t="s">
        <v>29</v>
      </c>
      <c r="K648">
        <v>65.760000000000005</v>
      </c>
      <c r="L648">
        <v>66.260000000000005</v>
      </c>
      <c r="M648">
        <v>32016281</v>
      </c>
      <c r="N648">
        <v>32076289</v>
      </c>
      <c r="O648">
        <v>549</v>
      </c>
      <c r="P648">
        <v>549</v>
      </c>
      <c r="Q648">
        <v>6499154</v>
      </c>
      <c r="R648">
        <v>6482963</v>
      </c>
      <c r="S648">
        <v>4226753</v>
      </c>
      <c r="T648">
        <v>4177660</v>
      </c>
      <c r="U648">
        <v>0</v>
      </c>
      <c r="V648">
        <v>0</v>
      </c>
      <c r="W648">
        <v>0</v>
      </c>
      <c r="X648">
        <v>0</v>
      </c>
      <c r="Y648">
        <v>23837825</v>
      </c>
      <c r="Z648">
        <v>24062561</v>
      </c>
      <c r="AA648">
        <f t="shared" si="21"/>
        <v>-16191</v>
      </c>
      <c r="AB648">
        <f t="shared" si="20"/>
        <v>-0.24912473223438003</v>
      </c>
    </row>
    <row r="649" spans="1:28">
      <c r="A649" t="s">
        <v>38</v>
      </c>
      <c r="B649" s="2">
        <v>45323</v>
      </c>
      <c r="C649" s="2">
        <v>45292</v>
      </c>
      <c r="D649" s="2">
        <v>45390</v>
      </c>
      <c r="E649">
        <v>42372887</v>
      </c>
      <c r="F649">
        <v>42245381</v>
      </c>
      <c r="G649">
        <v>-127506</v>
      </c>
      <c r="H649">
        <v>93.67</v>
      </c>
      <c r="I649">
        <v>210000</v>
      </c>
      <c r="J649" t="s">
        <v>29</v>
      </c>
      <c r="K649">
        <v>23.04</v>
      </c>
      <c r="L649">
        <v>23.25</v>
      </c>
      <c r="M649">
        <v>8514603</v>
      </c>
      <c r="N649">
        <v>8543494</v>
      </c>
      <c r="O649">
        <v>100</v>
      </c>
      <c r="P649">
        <v>100</v>
      </c>
      <c r="Q649">
        <v>13657471</v>
      </c>
      <c r="R649">
        <v>13587397</v>
      </c>
      <c r="S649">
        <v>9281824</v>
      </c>
      <c r="T649">
        <v>9169799</v>
      </c>
      <c r="U649">
        <v>0</v>
      </c>
      <c r="V649">
        <v>0</v>
      </c>
      <c r="W649">
        <v>0</v>
      </c>
      <c r="X649">
        <v>0</v>
      </c>
      <c r="Y649">
        <v>10918889</v>
      </c>
      <c r="Z649">
        <v>10944591</v>
      </c>
      <c r="AA649">
        <f t="shared" si="21"/>
        <v>-70074</v>
      </c>
      <c r="AB649">
        <f t="shared" si="20"/>
        <v>-0.51308181434176214</v>
      </c>
    </row>
    <row r="650" spans="1:28">
      <c r="A650" t="s">
        <v>39</v>
      </c>
      <c r="B650" s="2">
        <v>45323</v>
      </c>
      <c r="C650" s="2">
        <v>45292</v>
      </c>
      <c r="D650" s="2">
        <v>45390</v>
      </c>
      <c r="E650">
        <v>23871216</v>
      </c>
      <c r="F650">
        <v>23743992</v>
      </c>
      <c r="G650">
        <v>-127224</v>
      </c>
      <c r="H650">
        <v>95.38</v>
      </c>
      <c r="I650">
        <v>160000</v>
      </c>
      <c r="J650" t="s">
        <v>29</v>
      </c>
      <c r="K650">
        <v>17.579999999999998</v>
      </c>
      <c r="L650">
        <v>17.739999999999998</v>
      </c>
      <c r="M650">
        <v>5682729</v>
      </c>
      <c r="N650">
        <v>5687695</v>
      </c>
      <c r="O650">
        <v>0</v>
      </c>
      <c r="P650">
        <v>0</v>
      </c>
      <c r="Q650">
        <v>5345800</v>
      </c>
      <c r="R650">
        <v>5319227</v>
      </c>
      <c r="S650">
        <v>1989503</v>
      </c>
      <c r="T650">
        <v>1879504</v>
      </c>
      <c r="U650">
        <v>0</v>
      </c>
      <c r="V650">
        <v>0</v>
      </c>
      <c r="W650">
        <v>0</v>
      </c>
      <c r="X650">
        <v>0</v>
      </c>
      <c r="Y650">
        <v>10853184</v>
      </c>
      <c r="Z650">
        <v>10857566</v>
      </c>
      <c r="AA650">
        <f t="shared" si="21"/>
        <v>-26573</v>
      </c>
      <c r="AB650">
        <f t="shared" si="20"/>
        <v>-0.49708182124284483</v>
      </c>
    </row>
    <row r="651" spans="1:28">
      <c r="A651" t="s">
        <v>40</v>
      </c>
      <c r="B651" s="2">
        <v>45323</v>
      </c>
      <c r="C651" s="2">
        <v>45292</v>
      </c>
      <c r="D651" s="2">
        <v>45390</v>
      </c>
      <c r="E651">
        <v>78723895</v>
      </c>
      <c r="F651">
        <v>79209085</v>
      </c>
      <c r="G651">
        <v>485190</v>
      </c>
      <c r="H651">
        <v>85.54</v>
      </c>
      <c r="I651">
        <v>990000</v>
      </c>
      <c r="J651" t="s">
        <v>29</v>
      </c>
      <c r="K651">
        <v>72.39</v>
      </c>
      <c r="L651">
        <v>73.38</v>
      </c>
      <c r="M651">
        <v>15982845</v>
      </c>
      <c r="N651">
        <v>16082645</v>
      </c>
      <c r="O651">
        <v>0</v>
      </c>
      <c r="P651">
        <v>0</v>
      </c>
      <c r="Q651">
        <v>15699573</v>
      </c>
      <c r="R651">
        <v>15627630</v>
      </c>
      <c r="S651">
        <v>4740747</v>
      </c>
      <c r="T651">
        <v>4709237</v>
      </c>
      <c r="U651">
        <v>0</v>
      </c>
      <c r="V651">
        <v>0</v>
      </c>
      <c r="W651">
        <v>0</v>
      </c>
      <c r="X651">
        <v>0</v>
      </c>
      <c r="Y651">
        <v>42300730</v>
      </c>
      <c r="Z651">
        <v>42789573</v>
      </c>
      <c r="AA651">
        <f t="shared" si="21"/>
        <v>-71943</v>
      </c>
      <c r="AB651">
        <f t="shared" si="20"/>
        <v>-0.45824813197148739</v>
      </c>
    </row>
    <row r="652" spans="1:28">
      <c r="A652" t="s">
        <v>41</v>
      </c>
      <c r="B652" s="2">
        <v>45323</v>
      </c>
      <c r="C652" s="2">
        <v>45292</v>
      </c>
      <c r="D652" s="2">
        <v>45390</v>
      </c>
      <c r="E652">
        <v>93321302</v>
      </c>
      <c r="F652">
        <v>93458060</v>
      </c>
      <c r="G652">
        <v>136758</v>
      </c>
      <c r="H652">
        <v>93.37</v>
      </c>
      <c r="I652">
        <v>880000</v>
      </c>
      <c r="J652" t="s">
        <v>29</v>
      </c>
      <c r="K652">
        <v>77.25</v>
      </c>
      <c r="L652">
        <v>78.13</v>
      </c>
      <c r="M652">
        <v>21602792</v>
      </c>
      <c r="N652">
        <v>21684659</v>
      </c>
      <c r="O652">
        <v>0</v>
      </c>
      <c r="P652">
        <v>0</v>
      </c>
      <c r="Q652">
        <v>22614053</v>
      </c>
      <c r="R652">
        <v>22381696</v>
      </c>
      <c r="S652">
        <v>5879904</v>
      </c>
      <c r="T652">
        <v>5803243</v>
      </c>
      <c r="U652">
        <v>0</v>
      </c>
      <c r="V652">
        <v>0</v>
      </c>
      <c r="W652">
        <v>0</v>
      </c>
      <c r="X652">
        <v>0</v>
      </c>
      <c r="Y652">
        <v>43224553</v>
      </c>
      <c r="Z652">
        <v>43588462</v>
      </c>
      <c r="AA652">
        <f t="shared" si="21"/>
        <v>-232357</v>
      </c>
      <c r="AB652">
        <f t="shared" si="20"/>
        <v>-1.0274894111197139</v>
      </c>
    </row>
    <row r="653" spans="1:28">
      <c r="A653" t="s">
        <v>42</v>
      </c>
      <c r="B653" s="2">
        <v>45323</v>
      </c>
      <c r="C653" s="2">
        <v>45292</v>
      </c>
      <c r="D653" s="2">
        <v>45390</v>
      </c>
      <c r="E653">
        <v>34269932</v>
      </c>
      <c r="F653">
        <v>34279752</v>
      </c>
      <c r="G653">
        <v>9820</v>
      </c>
      <c r="H653">
        <v>71.349999999999994</v>
      </c>
      <c r="I653">
        <v>270000</v>
      </c>
      <c r="J653" t="s">
        <v>29</v>
      </c>
      <c r="K653">
        <v>32.6</v>
      </c>
      <c r="L653">
        <v>32.869999999999997</v>
      </c>
      <c r="M653">
        <v>9985385</v>
      </c>
      <c r="N653">
        <v>10008950</v>
      </c>
      <c r="O653">
        <v>604</v>
      </c>
      <c r="P653">
        <v>604</v>
      </c>
      <c r="Q653">
        <v>11117377</v>
      </c>
      <c r="R653">
        <v>10971786</v>
      </c>
      <c r="S653">
        <v>0</v>
      </c>
      <c r="T653">
        <v>0</v>
      </c>
      <c r="U653">
        <v>0</v>
      </c>
      <c r="V653">
        <v>0</v>
      </c>
      <c r="W653">
        <v>247836</v>
      </c>
      <c r="X653">
        <v>244320</v>
      </c>
      <c r="Y653">
        <v>12918730</v>
      </c>
      <c r="Z653">
        <v>13054092</v>
      </c>
      <c r="AA653">
        <f t="shared" si="21"/>
        <v>-145591</v>
      </c>
      <c r="AB653">
        <f t="shared" si="20"/>
        <v>-1.3095804882752469</v>
      </c>
    </row>
    <row r="654" spans="1:28">
      <c r="A654" t="s">
        <v>43</v>
      </c>
      <c r="B654" s="2">
        <v>45323</v>
      </c>
      <c r="C654" s="2">
        <v>45292</v>
      </c>
      <c r="D654" s="2">
        <v>45390</v>
      </c>
      <c r="E654">
        <v>12469760</v>
      </c>
      <c r="F654">
        <v>12527912</v>
      </c>
      <c r="G654">
        <v>58152</v>
      </c>
      <c r="H654">
        <v>95.76</v>
      </c>
      <c r="I654">
        <v>30000</v>
      </c>
      <c r="J654" t="s">
        <v>29</v>
      </c>
      <c r="K654">
        <v>2.15</v>
      </c>
      <c r="L654">
        <v>2.1800000000000002</v>
      </c>
      <c r="M654">
        <v>6214956</v>
      </c>
      <c r="N654">
        <v>6237691</v>
      </c>
      <c r="O654">
        <v>0</v>
      </c>
      <c r="P654">
        <v>0</v>
      </c>
      <c r="Q654">
        <v>790585</v>
      </c>
      <c r="R654">
        <v>771776</v>
      </c>
      <c r="S654">
        <v>1244179</v>
      </c>
      <c r="T654">
        <v>1243019</v>
      </c>
      <c r="U654">
        <v>0</v>
      </c>
      <c r="V654">
        <v>0</v>
      </c>
      <c r="W654">
        <v>0</v>
      </c>
      <c r="X654">
        <v>0</v>
      </c>
      <c r="Y654">
        <v>4220040</v>
      </c>
      <c r="Z654">
        <v>4275426</v>
      </c>
      <c r="AA654">
        <f t="shared" si="21"/>
        <v>-18809</v>
      </c>
      <c r="AB654">
        <f t="shared" si="20"/>
        <v>-2.3791243193331519</v>
      </c>
    </row>
    <row r="655" spans="1:28">
      <c r="A655" t="s">
        <v>44</v>
      </c>
      <c r="B655" s="2">
        <v>45323</v>
      </c>
      <c r="C655" s="2">
        <v>45292</v>
      </c>
      <c r="D655" s="2">
        <v>45390</v>
      </c>
      <c r="E655">
        <v>33412470</v>
      </c>
      <c r="F655">
        <v>33530145</v>
      </c>
      <c r="G655">
        <v>117675</v>
      </c>
      <c r="H655">
        <v>98.5</v>
      </c>
      <c r="I655">
        <v>180000</v>
      </c>
      <c r="J655" t="s">
        <v>29</v>
      </c>
      <c r="K655">
        <v>16.690000000000001</v>
      </c>
      <c r="L655">
        <v>16.87</v>
      </c>
      <c r="M655">
        <v>11501940</v>
      </c>
      <c r="N655">
        <v>11560013</v>
      </c>
      <c r="O655">
        <v>24</v>
      </c>
      <c r="P655">
        <v>24</v>
      </c>
      <c r="Q655">
        <v>1478271</v>
      </c>
      <c r="R655">
        <v>1453775</v>
      </c>
      <c r="S655">
        <v>5450059</v>
      </c>
      <c r="T655">
        <v>5447101</v>
      </c>
      <c r="U655">
        <v>0</v>
      </c>
      <c r="V655">
        <v>0</v>
      </c>
      <c r="W655">
        <v>0</v>
      </c>
      <c r="X655">
        <v>0</v>
      </c>
      <c r="Y655">
        <v>14982176</v>
      </c>
      <c r="Z655">
        <v>15069232</v>
      </c>
      <c r="AA655">
        <f t="shared" si="21"/>
        <v>-24496</v>
      </c>
      <c r="AB655">
        <f t="shared" si="20"/>
        <v>-1.6570709971311079</v>
      </c>
    </row>
    <row r="656" spans="1:28">
      <c r="A656" t="s">
        <v>45</v>
      </c>
      <c r="B656" s="2">
        <v>45323</v>
      </c>
      <c r="C656" s="2">
        <v>45292</v>
      </c>
      <c r="D656" s="2">
        <v>45390</v>
      </c>
      <c r="E656">
        <v>35221995</v>
      </c>
      <c r="F656">
        <v>35237429</v>
      </c>
      <c r="G656">
        <v>15434</v>
      </c>
      <c r="H656">
        <v>93.33</v>
      </c>
      <c r="I656">
        <v>300000</v>
      </c>
      <c r="J656" t="s">
        <v>29</v>
      </c>
      <c r="K656">
        <v>31.77</v>
      </c>
      <c r="L656">
        <v>32.07</v>
      </c>
      <c r="M656">
        <v>12541225</v>
      </c>
      <c r="N656">
        <v>12591205</v>
      </c>
      <c r="O656">
        <v>99</v>
      </c>
      <c r="P656">
        <v>99</v>
      </c>
      <c r="Q656">
        <v>6506089</v>
      </c>
      <c r="R656">
        <v>6495303</v>
      </c>
      <c r="S656">
        <v>4153406</v>
      </c>
      <c r="T656">
        <v>4070392</v>
      </c>
      <c r="U656">
        <v>0</v>
      </c>
      <c r="V656">
        <v>0</v>
      </c>
      <c r="W656">
        <v>0</v>
      </c>
      <c r="X656">
        <v>0</v>
      </c>
      <c r="Y656">
        <v>12021176</v>
      </c>
      <c r="Z656">
        <v>12080430</v>
      </c>
      <c r="AA656">
        <f t="shared" si="21"/>
        <v>-10786</v>
      </c>
      <c r="AB656">
        <f t="shared" si="20"/>
        <v>-0.16578316097428117</v>
      </c>
    </row>
    <row r="657" spans="1:28">
      <c r="A657" t="s">
        <v>46</v>
      </c>
      <c r="B657" s="2">
        <v>45323</v>
      </c>
      <c r="C657" s="2">
        <v>45292</v>
      </c>
      <c r="D657" s="2">
        <v>45390</v>
      </c>
      <c r="E657">
        <v>66174535</v>
      </c>
      <c r="F657">
        <v>66304783</v>
      </c>
      <c r="G657">
        <v>130248</v>
      </c>
      <c r="H657">
        <v>93.12</v>
      </c>
      <c r="I657">
        <v>660000</v>
      </c>
      <c r="J657" t="s">
        <v>29</v>
      </c>
      <c r="K657">
        <v>64.88</v>
      </c>
      <c r="L657">
        <v>65.540000000000006</v>
      </c>
      <c r="M657">
        <v>23202594</v>
      </c>
      <c r="N657">
        <v>23258253</v>
      </c>
      <c r="O657">
        <v>151</v>
      </c>
      <c r="P657">
        <v>151</v>
      </c>
      <c r="Q657">
        <v>10788187</v>
      </c>
      <c r="R657">
        <v>10740550</v>
      </c>
      <c r="S657">
        <v>5658798</v>
      </c>
      <c r="T657">
        <v>5677538</v>
      </c>
      <c r="U657">
        <v>0</v>
      </c>
      <c r="V657">
        <v>0</v>
      </c>
      <c r="W657">
        <v>0</v>
      </c>
      <c r="X657">
        <v>0</v>
      </c>
      <c r="Y657">
        <v>26524805</v>
      </c>
      <c r="Z657">
        <v>26628291</v>
      </c>
      <c r="AA657">
        <f t="shared" si="21"/>
        <v>-47637</v>
      </c>
      <c r="AB657">
        <f t="shared" si="20"/>
        <v>-0.44156631693536641</v>
      </c>
    </row>
    <row r="658" spans="1:28">
      <c r="A658" t="s">
        <v>47</v>
      </c>
      <c r="B658" s="2">
        <v>45323</v>
      </c>
      <c r="C658" s="2">
        <v>45292</v>
      </c>
      <c r="D658" s="2">
        <v>45390</v>
      </c>
      <c r="E658">
        <v>78282520</v>
      </c>
      <c r="F658">
        <v>78825538</v>
      </c>
      <c r="G658">
        <v>543018</v>
      </c>
      <c r="H658">
        <v>91.98</v>
      </c>
      <c r="I658">
        <v>580000</v>
      </c>
      <c r="J658" t="s">
        <v>29</v>
      </c>
      <c r="K658">
        <v>60.81</v>
      </c>
      <c r="L658">
        <v>61.39</v>
      </c>
      <c r="M658">
        <v>29152903</v>
      </c>
      <c r="N658">
        <v>29266114</v>
      </c>
      <c r="O658">
        <v>213</v>
      </c>
      <c r="P658">
        <v>213</v>
      </c>
      <c r="Q658">
        <v>15857377</v>
      </c>
      <c r="R658">
        <v>15708535</v>
      </c>
      <c r="S658">
        <v>7485773</v>
      </c>
      <c r="T658">
        <v>7939281</v>
      </c>
      <c r="U658">
        <v>179740</v>
      </c>
      <c r="V658">
        <v>180341</v>
      </c>
      <c r="W658">
        <v>0</v>
      </c>
      <c r="X658">
        <v>0</v>
      </c>
      <c r="Y658">
        <v>25606514</v>
      </c>
      <c r="Z658">
        <v>25731054</v>
      </c>
      <c r="AA658">
        <f t="shared" si="21"/>
        <v>-148842</v>
      </c>
      <c r="AB658">
        <f t="shared" si="20"/>
        <v>-0.93862938366162318</v>
      </c>
    </row>
    <row r="659" spans="1:28">
      <c r="A659" t="s">
        <v>48</v>
      </c>
      <c r="B659" s="2">
        <v>45323</v>
      </c>
      <c r="C659" s="2">
        <v>45292</v>
      </c>
      <c r="D659" s="2">
        <v>45390</v>
      </c>
      <c r="E659">
        <v>101608717</v>
      </c>
      <c r="F659">
        <v>102058337</v>
      </c>
      <c r="G659">
        <v>449620</v>
      </c>
      <c r="H659">
        <v>88.59</v>
      </c>
      <c r="I659">
        <v>1600000</v>
      </c>
      <c r="J659" t="s">
        <v>29</v>
      </c>
      <c r="K659">
        <v>87.07</v>
      </c>
      <c r="L659">
        <v>88.67</v>
      </c>
      <c r="M659">
        <v>36929390</v>
      </c>
      <c r="N659">
        <v>37105908</v>
      </c>
      <c r="O659">
        <v>0</v>
      </c>
      <c r="P659">
        <v>0</v>
      </c>
      <c r="Q659">
        <v>17365697</v>
      </c>
      <c r="R659">
        <v>17368030</v>
      </c>
      <c r="S659">
        <v>7983694</v>
      </c>
      <c r="T659">
        <v>7847050</v>
      </c>
      <c r="U659">
        <v>0</v>
      </c>
      <c r="V659">
        <v>0</v>
      </c>
      <c r="W659">
        <v>0</v>
      </c>
      <c r="X659">
        <v>0</v>
      </c>
      <c r="Y659">
        <v>39329936</v>
      </c>
      <c r="Z659">
        <v>39737349</v>
      </c>
      <c r="AA659">
        <f t="shared" si="21"/>
        <v>2333</v>
      </c>
      <c r="AB659">
        <f t="shared" si="20"/>
        <v>1.3434531306172164E-2</v>
      </c>
    </row>
    <row r="660" spans="1:28">
      <c r="A660" t="s">
        <v>49</v>
      </c>
      <c r="B660" s="2">
        <v>45323</v>
      </c>
      <c r="C660" s="2">
        <v>45292</v>
      </c>
      <c r="D660" s="2">
        <v>45390</v>
      </c>
      <c r="E660">
        <v>63156648</v>
      </c>
      <c r="F660">
        <v>63434603</v>
      </c>
      <c r="G660">
        <v>277955</v>
      </c>
      <c r="H660">
        <v>90.12</v>
      </c>
      <c r="I660">
        <v>1070000</v>
      </c>
      <c r="J660" t="s">
        <v>29</v>
      </c>
      <c r="K660">
        <v>66.67</v>
      </c>
      <c r="L660">
        <v>67.739999999999995</v>
      </c>
      <c r="M660">
        <v>18694147</v>
      </c>
      <c r="N660">
        <v>18772499</v>
      </c>
      <c r="O660">
        <v>5</v>
      </c>
      <c r="P660">
        <v>5</v>
      </c>
      <c r="Q660">
        <v>15547610</v>
      </c>
      <c r="R660">
        <v>15580489</v>
      </c>
      <c r="S660">
        <v>4927032</v>
      </c>
      <c r="T660">
        <v>4921579</v>
      </c>
      <c r="U660">
        <v>0</v>
      </c>
      <c r="V660">
        <v>0</v>
      </c>
      <c r="W660">
        <v>0</v>
      </c>
      <c r="X660">
        <v>0</v>
      </c>
      <c r="Y660">
        <v>23987854</v>
      </c>
      <c r="Z660">
        <v>24160031</v>
      </c>
      <c r="AA660">
        <f t="shared" si="21"/>
        <v>32879</v>
      </c>
      <c r="AB660">
        <f t="shared" si="20"/>
        <v>0.21147301739624291</v>
      </c>
    </row>
    <row r="661" spans="1:28">
      <c r="A661" t="s">
        <v>50</v>
      </c>
      <c r="B661" s="2">
        <v>45323</v>
      </c>
      <c r="C661" s="2">
        <v>45292</v>
      </c>
      <c r="D661" s="2">
        <v>45390</v>
      </c>
      <c r="E661">
        <v>57533350</v>
      </c>
      <c r="F661">
        <v>57787444</v>
      </c>
      <c r="G661">
        <v>254094</v>
      </c>
      <c r="H661">
        <v>89.91</v>
      </c>
      <c r="I661">
        <v>910000</v>
      </c>
      <c r="J661" t="s">
        <v>29</v>
      </c>
      <c r="K661">
        <v>53.13</v>
      </c>
      <c r="L661">
        <v>54.04</v>
      </c>
      <c r="M661">
        <v>17851161</v>
      </c>
      <c r="N661">
        <v>17983125</v>
      </c>
      <c r="O661">
        <v>76</v>
      </c>
      <c r="P661">
        <v>76</v>
      </c>
      <c r="Q661">
        <v>13230448</v>
      </c>
      <c r="R661">
        <v>13174374</v>
      </c>
      <c r="S661">
        <v>2346957</v>
      </c>
      <c r="T661">
        <v>2322968</v>
      </c>
      <c r="U661">
        <v>0</v>
      </c>
      <c r="V661">
        <v>0</v>
      </c>
      <c r="W661">
        <v>0</v>
      </c>
      <c r="X661">
        <v>0</v>
      </c>
      <c r="Y661">
        <v>24104708</v>
      </c>
      <c r="Z661">
        <v>24306901</v>
      </c>
      <c r="AA661">
        <f t="shared" si="21"/>
        <v>-56074</v>
      </c>
      <c r="AB661">
        <f t="shared" si="20"/>
        <v>-0.42382540636568017</v>
      </c>
    </row>
    <row r="662" spans="1:28">
      <c r="A662" t="s">
        <v>28</v>
      </c>
      <c r="B662" s="2">
        <v>45352</v>
      </c>
      <c r="C662" s="2">
        <v>45323</v>
      </c>
      <c r="D662" s="2">
        <v>45415</v>
      </c>
      <c r="E662">
        <v>83655012</v>
      </c>
      <c r="F662">
        <v>83825444</v>
      </c>
      <c r="G662">
        <v>170432</v>
      </c>
      <c r="H662">
        <v>92.05</v>
      </c>
      <c r="I662">
        <v>520000</v>
      </c>
      <c r="J662" t="s">
        <v>29</v>
      </c>
      <c r="K662">
        <v>64.55</v>
      </c>
      <c r="L662">
        <v>65.069999999999993</v>
      </c>
      <c r="M662">
        <v>33650768</v>
      </c>
      <c r="N662">
        <v>33747893</v>
      </c>
      <c r="O662">
        <v>0</v>
      </c>
      <c r="P662">
        <v>0</v>
      </c>
      <c r="Q662">
        <v>10824137</v>
      </c>
      <c r="R662">
        <v>10775447</v>
      </c>
      <c r="S662">
        <v>6540254</v>
      </c>
      <c r="T662">
        <v>6555686</v>
      </c>
      <c r="U662">
        <v>0</v>
      </c>
      <c r="V662">
        <v>0</v>
      </c>
      <c r="W662">
        <v>0</v>
      </c>
      <c r="X662">
        <v>0</v>
      </c>
      <c r="Y662">
        <v>32639853</v>
      </c>
      <c r="Z662">
        <v>32746418</v>
      </c>
      <c r="AA662">
        <f t="shared" si="21"/>
        <v>-48690</v>
      </c>
      <c r="AB662">
        <f t="shared" si="20"/>
        <v>-0.44982800938310369</v>
      </c>
    </row>
    <row r="663" spans="1:28">
      <c r="A663" t="s">
        <v>30</v>
      </c>
      <c r="B663" s="2">
        <v>45352</v>
      </c>
      <c r="C663" s="2">
        <v>45323</v>
      </c>
      <c r="D663" s="2">
        <v>45415</v>
      </c>
      <c r="E663">
        <v>26209396</v>
      </c>
      <c r="F663">
        <v>26366520</v>
      </c>
      <c r="G663">
        <v>157124</v>
      </c>
      <c r="H663">
        <v>96.72</v>
      </c>
      <c r="I663">
        <v>90000</v>
      </c>
      <c r="J663" t="s">
        <v>29</v>
      </c>
      <c r="K663">
        <v>6.81</v>
      </c>
      <c r="L663">
        <v>6.9</v>
      </c>
      <c r="M663">
        <v>11744084</v>
      </c>
      <c r="N663">
        <v>11816732</v>
      </c>
      <c r="O663">
        <v>0</v>
      </c>
      <c r="P663">
        <v>0</v>
      </c>
      <c r="Q663">
        <v>1593928</v>
      </c>
      <c r="R663">
        <v>1562512</v>
      </c>
      <c r="S663">
        <v>3127976</v>
      </c>
      <c r="T663">
        <v>3076922</v>
      </c>
      <c r="U663">
        <v>0</v>
      </c>
      <c r="V663">
        <v>0</v>
      </c>
      <c r="W663">
        <v>0</v>
      </c>
      <c r="X663">
        <v>0</v>
      </c>
      <c r="Y663">
        <v>9743408</v>
      </c>
      <c r="Z663">
        <v>9910354</v>
      </c>
      <c r="AA663">
        <f t="shared" si="21"/>
        <v>-31416</v>
      </c>
      <c r="AB663">
        <f t="shared" si="20"/>
        <v>-1.970979868601342</v>
      </c>
    </row>
    <row r="664" spans="1:28">
      <c r="A664" t="s">
        <v>31</v>
      </c>
      <c r="B664" s="2">
        <v>45352</v>
      </c>
      <c r="C664" s="2">
        <v>45323</v>
      </c>
      <c r="D664" s="2">
        <v>45415</v>
      </c>
      <c r="E664">
        <v>94870099</v>
      </c>
      <c r="F664">
        <v>95476743</v>
      </c>
      <c r="G664">
        <v>606644</v>
      </c>
      <c r="H664">
        <v>87.93</v>
      </c>
      <c r="I664">
        <v>840000</v>
      </c>
      <c r="J664" t="s">
        <v>29</v>
      </c>
      <c r="K664">
        <v>52.32</v>
      </c>
      <c r="L664">
        <v>53.16</v>
      </c>
      <c r="M664">
        <v>41415483</v>
      </c>
      <c r="N664">
        <v>41601529</v>
      </c>
      <c r="O664">
        <v>0</v>
      </c>
      <c r="P664">
        <v>0</v>
      </c>
      <c r="Q664">
        <v>7613568</v>
      </c>
      <c r="R664">
        <v>7689305</v>
      </c>
      <c r="S664">
        <v>5202006</v>
      </c>
      <c r="T664">
        <v>5232153</v>
      </c>
      <c r="U664">
        <v>0</v>
      </c>
      <c r="V664">
        <v>0</v>
      </c>
      <c r="W664">
        <v>0</v>
      </c>
      <c r="X664">
        <v>0</v>
      </c>
      <c r="Y664">
        <v>40639042</v>
      </c>
      <c r="Z664">
        <v>40953756</v>
      </c>
      <c r="AA664">
        <f t="shared" si="21"/>
        <v>75737</v>
      </c>
      <c r="AB664">
        <f t="shared" si="20"/>
        <v>0.99476355895159796</v>
      </c>
    </row>
    <row r="665" spans="1:28">
      <c r="A665" t="s">
        <v>32</v>
      </c>
      <c r="B665" s="2">
        <v>45352</v>
      </c>
      <c r="C665" s="2">
        <v>45323</v>
      </c>
      <c r="D665" s="2">
        <v>45415</v>
      </c>
      <c r="E665">
        <v>56517206</v>
      </c>
      <c r="F665">
        <v>56698541</v>
      </c>
      <c r="G665">
        <v>181335</v>
      </c>
      <c r="H665">
        <v>59.96</v>
      </c>
      <c r="I665">
        <v>560000</v>
      </c>
      <c r="J665" t="s">
        <v>29</v>
      </c>
      <c r="K665">
        <v>45.7</v>
      </c>
      <c r="L665">
        <v>46.26</v>
      </c>
      <c r="M665">
        <v>18094479</v>
      </c>
      <c r="N665">
        <v>18185677</v>
      </c>
      <c r="O665">
        <v>20</v>
      </c>
      <c r="P665">
        <v>0</v>
      </c>
      <c r="Q665">
        <v>16523781</v>
      </c>
      <c r="R665">
        <v>16542428</v>
      </c>
      <c r="S665">
        <v>0</v>
      </c>
      <c r="T665">
        <v>0</v>
      </c>
      <c r="U665">
        <v>0</v>
      </c>
      <c r="V665">
        <v>0</v>
      </c>
      <c r="W665">
        <v>1686179</v>
      </c>
      <c r="X665">
        <v>1685818</v>
      </c>
      <c r="Y665">
        <v>20212747</v>
      </c>
      <c r="Z665">
        <v>20284618</v>
      </c>
      <c r="AA665">
        <f t="shared" si="21"/>
        <v>18647</v>
      </c>
      <c r="AB665">
        <f t="shared" si="20"/>
        <v>0.11284947434246435</v>
      </c>
    </row>
    <row r="666" spans="1:28">
      <c r="A666" t="s">
        <v>33</v>
      </c>
      <c r="B666" s="2">
        <v>45352</v>
      </c>
      <c r="C666" s="2">
        <v>45323</v>
      </c>
      <c r="D666" s="2">
        <v>45415</v>
      </c>
      <c r="E666">
        <v>66356949</v>
      </c>
      <c r="F666">
        <v>65966737</v>
      </c>
      <c r="G666">
        <v>-390212</v>
      </c>
      <c r="H666">
        <v>93.9</v>
      </c>
      <c r="I666">
        <v>780000</v>
      </c>
      <c r="J666" t="s">
        <v>29</v>
      </c>
      <c r="K666">
        <v>64.900000000000006</v>
      </c>
      <c r="L666">
        <v>65.680000000000007</v>
      </c>
      <c r="M666">
        <v>11814734</v>
      </c>
      <c r="N666">
        <v>11867361</v>
      </c>
      <c r="O666">
        <v>39</v>
      </c>
      <c r="P666">
        <v>0</v>
      </c>
      <c r="Q666">
        <v>20820623</v>
      </c>
      <c r="R666">
        <v>20718941</v>
      </c>
      <c r="S666">
        <v>3727863</v>
      </c>
      <c r="T666">
        <v>3228496</v>
      </c>
      <c r="U666">
        <v>0</v>
      </c>
      <c r="V666">
        <v>0</v>
      </c>
      <c r="W666">
        <v>0</v>
      </c>
      <c r="X666">
        <v>0</v>
      </c>
      <c r="Y666">
        <v>29993690</v>
      </c>
      <c r="Z666">
        <v>30151939</v>
      </c>
      <c r="AA666">
        <f t="shared" si="21"/>
        <v>-101682</v>
      </c>
      <c r="AB666">
        <f t="shared" si="20"/>
        <v>-0.48837155353132322</v>
      </c>
    </row>
    <row r="667" spans="1:28">
      <c r="A667" t="s">
        <v>34</v>
      </c>
      <c r="B667" s="2">
        <v>45352</v>
      </c>
      <c r="C667" s="2">
        <v>45323</v>
      </c>
      <c r="D667" s="2">
        <v>45415</v>
      </c>
      <c r="E667">
        <v>26717297</v>
      </c>
      <c r="F667">
        <v>26621759</v>
      </c>
      <c r="G667">
        <v>-95538</v>
      </c>
      <c r="H667">
        <v>91.8</v>
      </c>
      <c r="I667">
        <v>360000</v>
      </c>
      <c r="J667" t="s">
        <v>29</v>
      </c>
      <c r="K667">
        <v>30.18</v>
      </c>
      <c r="L667">
        <v>30.54</v>
      </c>
      <c r="M667">
        <v>6974944</v>
      </c>
      <c r="N667">
        <v>7025769</v>
      </c>
      <c r="O667">
        <v>7</v>
      </c>
      <c r="P667">
        <v>0</v>
      </c>
      <c r="Q667">
        <v>6764967</v>
      </c>
      <c r="R667">
        <v>6760161</v>
      </c>
      <c r="S667">
        <v>4300321</v>
      </c>
      <c r="T667">
        <v>4105614</v>
      </c>
      <c r="U667">
        <v>0</v>
      </c>
      <c r="V667">
        <v>0</v>
      </c>
      <c r="W667">
        <v>0</v>
      </c>
      <c r="X667">
        <v>0</v>
      </c>
      <c r="Y667">
        <v>8677058</v>
      </c>
      <c r="Z667">
        <v>8730215</v>
      </c>
      <c r="AA667">
        <f t="shared" si="21"/>
        <v>-4806</v>
      </c>
      <c r="AB667">
        <f t="shared" si="20"/>
        <v>-7.1042475151763484E-2</v>
      </c>
    </row>
    <row r="668" spans="1:28">
      <c r="A668" t="s">
        <v>35</v>
      </c>
      <c r="B668" s="2">
        <v>45352</v>
      </c>
      <c r="C668" s="2">
        <v>45323</v>
      </c>
      <c r="D668" s="2">
        <v>45415</v>
      </c>
      <c r="E668">
        <v>8839065</v>
      </c>
      <c r="F668">
        <v>8800276</v>
      </c>
      <c r="G668">
        <v>-38789</v>
      </c>
      <c r="H668">
        <v>112.37</v>
      </c>
      <c r="I668">
        <v>40000</v>
      </c>
      <c r="J668" t="s">
        <v>29</v>
      </c>
      <c r="K668">
        <v>4.09</v>
      </c>
      <c r="L668">
        <v>4.13</v>
      </c>
      <c r="M668">
        <v>3570642</v>
      </c>
      <c r="N668">
        <v>3580729</v>
      </c>
      <c r="O668">
        <v>90</v>
      </c>
      <c r="P668">
        <v>0</v>
      </c>
      <c r="Q668">
        <v>401167</v>
      </c>
      <c r="R668">
        <v>399925</v>
      </c>
      <c r="S668">
        <v>1527016</v>
      </c>
      <c r="T668">
        <v>1471707</v>
      </c>
      <c r="U668">
        <v>0</v>
      </c>
      <c r="V668">
        <v>0</v>
      </c>
      <c r="W668">
        <v>0</v>
      </c>
      <c r="X668">
        <v>0</v>
      </c>
      <c r="Y668">
        <v>3340150</v>
      </c>
      <c r="Z668">
        <v>3347915</v>
      </c>
      <c r="AA668">
        <f t="shared" si="21"/>
        <v>-1242</v>
      </c>
      <c r="AB668">
        <f t="shared" si="20"/>
        <v>-0.30959675147756421</v>
      </c>
    </row>
    <row r="669" spans="1:28">
      <c r="A669" t="s">
        <v>36</v>
      </c>
      <c r="B669" s="2">
        <v>45352</v>
      </c>
      <c r="C669" s="2">
        <v>45323</v>
      </c>
      <c r="D669" s="2">
        <v>45415</v>
      </c>
      <c r="E669">
        <v>12034028</v>
      </c>
      <c r="F669">
        <v>12078113</v>
      </c>
      <c r="G669">
        <v>44085</v>
      </c>
      <c r="H669">
        <v>85.19</v>
      </c>
      <c r="I669">
        <v>60000</v>
      </c>
      <c r="J669" t="s">
        <v>29</v>
      </c>
      <c r="K669">
        <v>2.4</v>
      </c>
      <c r="L669">
        <v>2.46</v>
      </c>
      <c r="M669">
        <v>5890199</v>
      </c>
      <c r="N669">
        <v>5959033</v>
      </c>
      <c r="O669">
        <v>0</v>
      </c>
      <c r="P669">
        <v>0</v>
      </c>
      <c r="Q669">
        <v>296689</v>
      </c>
      <c r="R669">
        <v>297927</v>
      </c>
      <c r="S669">
        <v>789339</v>
      </c>
      <c r="T669">
        <v>781259</v>
      </c>
      <c r="U669">
        <v>0</v>
      </c>
      <c r="V669">
        <v>0</v>
      </c>
      <c r="W669">
        <v>0</v>
      </c>
      <c r="X669">
        <v>0</v>
      </c>
      <c r="Y669">
        <v>5057801</v>
      </c>
      <c r="Z669">
        <v>5039894</v>
      </c>
      <c r="AA669">
        <f t="shared" si="21"/>
        <v>1238</v>
      </c>
      <c r="AB669">
        <f t="shared" si="20"/>
        <v>0.41727195817842927</v>
      </c>
    </row>
    <row r="670" spans="1:28">
      <c r="A670" t="s">
        <v>37</v>
      </c>
      <c r="B670" s="2">
        <v>45352</v>
      </c>
      <c r="C670" s="2">
        <v>45323</v>
      </c>
      <c r="D670" s="2">
        <v>45415</v>
      </c>
      <c r="E670">
        <v>66800022</v>
      </c>
      <c r="F670">
        <v>66907699</v>
      </c>
      <c r="G670">
        <v>107677</v>
      </c>
      <c r="H670">
        <v>82.69</v>
      </c>
      <c r="I670">
        <v>510000</v>
      </c>
      <c r="J670" t="s">
        <v>29</v>
      </c>
      <c r="K670">
        <v>66.260000000000005</v>
      </c>
      <c r="L670">
        <v>66.77</v>
      </c>
      <c r="M670">
        <v>32076289</v>
      </c>
      <c r="N670">
        <v>32180209</v>
      </c>
      <c r="O670">
        <v>549</v>
      </c>
      <c r="P670">
        <v>11</v>
      </c>
      <c r="Q670">
        <v>6482963</v>
      </c>
      <c r="R670">
        <v>6409744</v>
      </c>
      <c r="S670">
        <v>4177660</v>
      </c>
      <c r="T670">
        <v>4163875</v>
      </c>
      <c r="U670">
        <v>0</v>
      </c>
      <c r="V670">
        <v>0</v>
      </c>
      <c r="W670">
        <v>0</v>
      </c>
      <c r="X670">
        <v>0</v>
      </c>
      <c r="Y670">
        <v>24062561</v>
      </c>
      <c r="Z670">
        <v>24153860</v>
      </c>
      <c r="AA670">
        <f t="shared" si="21"/>
        <v>-73219</v>
      </c>
      <c r="AB670">
        <f t="shared" si="20"/>
        <v>-1.1294064149371206</v>
      </c>
    </row>
    <row r="671" spans="1:28">
      <c r="A671" t="s">
        <v>38</v>
      </c>
      <c r="B671" s="2">
        <v>45352</v>
      </c>
      <c r="C671" s="2">
        <v>45323</v>
      </c>
      <c r="D671" s="2">
        <v>45415</v>
      </c>
      <c r="E671">
        <v>42245381</v>
      </c>
      <c r="F671">
        <v>42257239</v>
      </c>
      <c r="G671">
        <v>11858</v>
      </c>
      <c r="H671">
        <v>92.27</v>
      </c>
      <c r="I671">
        <v>210000</v>
      </c>
      <c r="J671" t="s">
        <v>29</v>
      </c>
      <c r="K671">
        <v>23.25</v>
      </c>
      <c r="L671">
        <v>23.46</v>
      </c>
      <c r="M671">
        <v>8543494</v>
      </c>
      <c r="N671">
        <v>8578649</v>
      </c>
      <c r="O671">
        <v>100</v>
      </c>
      <c r="P671">
        <v>13</v>
      </c>
      <c r="Q671">
        <v>13587397</v>
      </c>
      <c r="R671">
        <v>13645704</v>
      </c>
      <c r="S671">
        <v>9169799</v>
      </c>
      <c r="T671">
        <v>9049332</v>
      </c>
      <c r="U671">
        <v>0</v>
      </c>
      <c r="V671">
        <v>0</v>
      </c>
      <c r="W671">
        <v>0</v>
      </c>
      <c r="X671">
        <v>0</v>
      </c>
      <c r="Y671">
        <v>10944591</v>
      </c>
      <c r="Z671">
        <v>10983541</v>
      </c>
      <c r="AA671">
        <f t="shared" si="21"/>
        <v>58307</v>
      </c>
      <c r="AB671">
        <f t="shared" si="20"/>
        <v>0.42912560809108613</v>
      </c>
    </row>
    <row r="672" spans="1:28">
      <c r="A672" t="s">
        <v>39</v>
      </c>
      <c r="B672" s="2">
        <v>45352</v>
      </c>
      <c r="C672" s="2">
        <v>45323</v>
      </c>
      <c r="D672" s="2">
        <v>45415</v>
      </c>
      <c r="E672">
        <v>23743992</v>
      </c>
      <c r="F672">
        <v>23667394</v>
      </c>
      <c r="G672">
        <v>-76598</v>
      </c>
      <c r="H672">
        <v>93.66</v>
      </c>
      <c r="I672">
        <v>160000</v>
      </c>
      <c r="J672" t="s">
        <v>29</v>
      </c>
      <c r="K672">
        <v>17.739999999999998</v>
      </c>
      <c r="L672">
        <v>17.899999999999999</v>
      </c>
      <c r="M672">
        <v>5687695</v>
      </c>
      <c r="N672">
        <v>5693000</v>
      </c>
      <c r="O672">
        <v>0</v>
      </c>
      <c r="P672">
        <v>0</v>
      </c>
      <c r="Q672">
        <v>5319227</v>
      </c>
      <c r="R672">
        <v>5279015</v>
      </c>
      <c r="S672">
        <v>1879504</v>
      </c>
      <c r="T672">
        <v>1783000</v>
      </c>
      <c r="U672">
        <v>0</v>
      </c>
      <c r="V672">
        <v>0</v>
      </c>
      <c r="W672">
        <v>0</v>
      </c>
      <c r="X672">
        <v>0</v>
      </c>
      <c r="Y672">
        <v>10857566</v>
      </c>
      <c r="Z672">
        <v>10912379</v>
      </c>
      <c r="AA672">
        <f t="shared" si="21"/>
        <v>-40212</v>
      </c>
      <c r="AB672">
        <f t="shared" si="20"/>
        <v>-0.75597450531815991</v>
      </c>
    </row>
    <row r="673" spans="1:28">
      <c r="A673" t="s">
        <v>40</v>
      </c>
      <c r="B673" s="2">
        <v>45352</v>
      </c>
      <c r="C673" s="2">
        <v>45323</v>
      </c>
      <c r="D673" s="2">
        <v>45415</v>
      </c>
      <c r="E673">
        <v>79209085</v>
      </c>
      <c r="F673">
        <v>79499616</v>
      </c>
      <c r="G673">
        <v>290531</v>
      </c>
      <c r="H673">
        <v>85.81</v>
      </c>
      <c r="I673">
        <v>1000000</v>
      </c>
      <c r="J673" t="s">
        <v>29</v>
      </c>
      <c r="K673">
        <v>73.38</v>
      </c>
      <c r="L673">
        <v>74.38</v>
      </c>
      <c r="M673">
        <v>16082645</v>
      </c>
      <c r="N673">
        <v>16164992</v>
      </c>
      <c r="O673">
        <v>0</v>
      </c>
      <c r="P673">
        <v>0</v>
      </c>
      <c r="Q673">
        <v>15627630</v>
      </c>
      <c r="R673">
        <v>15548612</v>
      </c>
      <c r="S673">
        <v>4709237</v>
      </c>
      <c r="T673">
        <v>4706319</v>
      </c>
      <c r="U673">
        <v>0</v>
      </c>
      <c r="V673">
        <v>0</v>
      </c>
      <c r="W673">
        <v>0</v>
      </c>
      <c r="X673">
        <v>0</v>
      </c>
      <c r="Y673">
        <v>42789573</v>
      </c>
      <c r="Z673">
        <v>43079693</v>
      </c>
      <c r="AA673">
        <f t="shared" si="21"/>
        <v>-79018</v>
      </c>
      <c r="AB673">
        <f t="shared" si="20"/>
        <v>-0.50563009234285683</v>
      </c>
    </row>
    <row r="674" spans="1:28">
      <c r="A674" t="s">
        <v>41</v>
      </c>
      <c r="B674" s="2">
        <v>45352</v>
      </c>
      <c r="C674" s="2">
        <v>45323</v>
      </c>
      <c r="D674" s="2">
        <v>45415</v>
      </c>
      <c r="E674">
        <v>93458060</v>
      </c>
      <c r="F674">
        <v>93247080</v>
      </c>
      <c r="G674">
        <v>-210980</v>
      </c>
      <c r="H674">
        <v>92.69</v>
      </c>
      <c r="I674">
        <v>880000</v>
      </c>
      <c r="J674" t="s">
        <v>29</v>
      </c>
      <c r="K674">
        <v>78.13</v>
      </c>
      <c r="L674">
        <v>79.010000000000005</v>
      </c>
      <c r="M674">
        <v>21684659</v>
      </c>
      <c r="N674">
        <v>21758839</v>
      </c>
      <c r="O674">
        <v>0</v>
      </c>
      <c r="P674">
        <v>0</v>
      </c>
      <c r="Q674">
        <v>22381696</v>
      </c>
      <c r="R674">
        <v>22274096</v>
      </c>
      <c r="S674">
        <v>5803243</v>
      </c>
      <c r="T674">
        <v>5729299</v>
      </c>
      <c r="U674">
        <v>0</v>
      </c>
      <c r="V674">
        <v>0</v>
      </c>
      <c r="W674">
        <v>0</v>
      </c>
      <c r="X674">
        <v>0</v>
      </c>
      <c r="Y674">
        <v>43588462</v>
      </c>
      <c r="Z674">
        <v>43484846</v>
      </c>
      <c r="AA674">
        <f t="shared" si="21"/>
        <v>-107600</v>
      </c>
      <c r="AB674">
        <f t="shared" si="20"/>
        <v>-0.48074998427286297</v>
      </c>
    </row>
    <row r="675" spans="1:28">
      <c r="A675" t="s">
        <v>42</v>
      </c>
      <c r="B675" s="2">
        <v>45352</v>
      </c>
      <c r="C675" s="2">
        <v>45323</v>
      </c>
      <c r="D675" s="2">
        <v>45415</v>
      </c>
      <c r="E675">
        <v>34279752</v>
      </c>
      <c r="F675">
        <v>34358091</v>
      </c>
      <c r="G675">
        <v>78339</v>
      </c>
      <c r="H675">
        <v>71.28</v>
      </c>
      <c r="I675">
        <v>250000</v>
      </c>
      <c r="J675" t="s">
        <v>29</v>
      </c>
      <c r="K675">
        <v>32.869999999999997</v>
      </c>
      <c r="L675">
        <v>33.119999999999997</v>
      </c>
      <c r="M675">
        <v>10008950</v>
      </c>
      <c r="N675">
        <v>10038459</v>
      </c>
      <c r="O675">
        <v>604</v>
      </c>
      <c r="P675">
        <v>3</v>
      </c>
      <c r="Q675">
        <v>10971786</v>
      </c>
      <c r="R675">
        <v>10962574</v>
      </c>
      <c r="S675">
        <v>0</v>
      </c>
      <c r="T675">
        <v>0</v>
      </c>
      <c r="U675">
        <v>0</v>
      </c>
      <c r="V675">
        <v>0</v>
      </c>
      <c r="W675">
        <v>244320</v>
      </c>
      <c r="X675">
        <v>240007</v>
      </c>
      <c r="Y675">
        <v>13054092</v>
      </c>
      <c r="Z675">
        <v>13117048</v>
      </c>
      <c r="AA675">
        <f t="shared" si="21"/>
        <v>-9212</v>
      </c>
      <c r="AB675">
        <f t="shared" si="20"/>
        <v>-8.3960806381021283E-2</v>
      </c>
    </row>
    <row r="676" spans="1:28">
      <c r="A676" t="s">
        <v>43</v>
      </c>
      <c r="B676" s="2">
        <v>45352</v>
      </c>
      <c r="C676" s="2">
        <v>45323</v>
      </c>
      <c r="D676" s="2">
        <v>45415</v>
      </c>
      <c r="E676">
        <v>12527912</v>
      </c>
      <c r="F676">
        <v>12550609</v>
      </c>
      <c r="G676">
        <v>22697</v>
      </c>
      <c r="H676">
        <v>97.03</v>
      </c>
      <c r="I676">
        <v>20000</v>
      </c>
      <c r="J676" t="s">
        <v>29</v>
      </c>
      <c r="K676">
        <v>2.1800000000000002</v>
      </c>
      <c r="L676">
        <v>2.2000000000000002</v>
      </c>
      <c r="M676">
        <v>6237691</v>
      </c>
      <c r="N676">
        <v>6283732</v>
      </c>
      <c r="O676">
        <v>0</v>
      </c>
      <c r="P676">
        <v>0</v>
      </c>
      <c r="Q676">
        <v>771776</v>
      </c>
      <c r="R676">
        <v>757938</v>
      </c>
      <c r="S676">
        <v>1243019</v>
      </c>
      <c r="T676">
        <v>1240979</v>
      </c>
      <c r="U676">
        <v>0</v>
      </c>
      <c r="V676">
        <v>0</v>
      </c>
      <c r="W676">
        <v>0</v>
      </c>
      <c r="X676">
        <v>0</v>
      </c>
      <c r="Y676">
        <v>4275426</v>
      </c>
      <c r="Z676">
        <v>4267960</v>
      </c>
      <c r="AA676">
        <f t="shared" si="21"/>
        <v>-13838</v>
      </c>
      <c r="AB676">
        <f t="shared" si="20"/>
        <v>-1.7930072974541835</v>
      </c>
    </row>
    <row r="677" spans="1:28">
      <c r="A677" t="s">
        <v>44</v>
      </c>
      <c r="B677" s="2">
        <v>45352</v>
      </c>
      <c r="C677" s="2">
        <v>45323</v>
      </c>
      <c r="D677" s="2">
        <v>45415</v>
      </c>
      <c r="E677">
        <v>33530145</v>
      </c>
      <c r="F677">
        <v>33706035</v>
      </c>
      <c r="G677">
        <v>175890</v>
      </c>
      <c r="H677">
        <v>98.43</v>
      </c>
      <c r="I677">
        <v>170000</v>
      </c>
      <c r="J677" t="s">
        <v>29</v>
      </c>
      <c r="K677">
        <v>16.87</v>
      </c>
      <c r="L677">
        <v>17.04</v>
      </c>
      <c r="M677">
        <v>11560013</v>
      </c>
      <c r="N677">
        <v>11634283</v>
      </c>
      <c r="O677">
        <v>24</v>
      </c>
      <c r="P677">
        <v>0</v>
      </c>
      <c r="Q677">
        <v>1453775</v>
      </c>
      <c r="R677">
        <v>1447659</v>
      </c>
      <c r="S677">
        <v>5447101</v>
      </c>
      <c r="T677">
        <v>5429594</v>
      </c>
      <c r="U677">
        <v>0</v>
      </c>
      <c r="V677">
        <v>0</v>
      </c>
      <c r="W677">
        <v>0</v>
      </c>
      <c r="X677">
        <v>0</v>
      </c>
      <c r="Y677">
        <v>15069232</v>
      </c>
      <c r="Z677">
        <v>15194499</v>
      </c>
      <c r="AA677">
        <f t="shared" si="21"/>
        <v>-6116</v>
      </c>
      <c r="AB677">
        <f t="shared" si="20"/>
        <v>-0.42069783838627023</v>
      </c>
    </row>
    <row r="678" spans="1:28">
      <c r="A678" t="s">
        <v>45</v>
      </c>
      <c r="B678" s="2">
        <v>45352</v>
      </c>
      <c r="C678" s="2">
        <v>45323</v>
      </c>
      <c r="D678" s="2">
        <v>45415</v>
      </c>
      <c r="E678">
        <v>35237429</v>
      </c>
      <c r="F678">
        <v>35136737</v>
      </c>
      <c r="G678">
        <v>-100692</v>
      </c>
      <c r="H678">
        <v>93.49</v>
      </c>
      <c r="I678">
        <v>300000</v>
      </c>
      <c r="J678" t="s">
        <v>29</v>
      </c>
      <c r="K678">
        <v>32.07</v>
      </c>
      <c r="L678">
        <v>32.369999999999997</v>
      </c>
      <c r="M678">
        <v>12591205</v>
      </c>
      <c r="N678">
        <v>12627262</v>
      </c>
      <c r="O678">
        <v>99</v>
      </c>
      <c r="P678">
        <v>0</v>
      </c>
      <c r="Q678">
        <v>6495303</v>
      </c>
      <c r="R678">
        <v>6469514</v>
      </c>
      <c r="S678">
        <v>4070392</v>
      </c>
      <c r="T678">
        <v>3867585</v>
      </c>
      <c r="U678">
        <v>0</v>
      </c>
      <c r="V678">
        <v>0</v>
      </c>
      <c r="W678">
        <v>0</v>
      </c>
      <c r="X678">
        <v>0</v>
      </c>
      <c r="Y678">
        <v>12080430</v>
      </c>
      <c r="Z678">
        <v>12172376</v>
      </c>
      <c r="AA678">
        <f t="shared" si="21"/>
        <v>-25789</v>
      </c>
      <c r="AB678">
        <f t="shared" si="20"/>
        <v>-0.39704075391094146</v>
      </c>
    </row>
    <row r="679" spans="1:28">
      <c r="A679" t="s">
        <v>46</v>
      </c>
      <c r="B679" s="2">
        <v>45352</v>
      </c>
      <c r="C679" s="2">
        <v>45323</v>
      </c>
      <c r="D679" s="2">
        <v>45415</v>
      </c>
      <c r="E679">
        <v>66304783</v>
      </c>
      <c r="F679">
        <v>66332797</v>
      </c>
      <c r="G679">
        <v>28014</v>
      </c>
      <c r="H679">
        <v>93.94</v>
      </c>
      <c r="I679">
        <v>600000</v>
      </c>
      <c r="J679" t="s">
        <v>29</v>
      </c>
      <c r="K679">
        <v>65.540000000000006</v>
      </c>
      <c r="L679">
        <v>66.14</v>
      </c>
      <c r="M679">
        <v>23258253</v>
      </c>
      <c r="N679">
        <v>23338405</v>
      </c>
      <c r="O679">
        <v>151</v>
      </c>
      <c r="P679">
        <v>0</v>
      </c>
      <c r="Q679">
        <v>10740550</v>
      </c>
      <c r="R679">
        <v>10656750</v>
      </c>
      <c r="S679">
        <v>5677538</v>
      </c>
      <c r="T679">
        <v>5562912</v>
      </c>
      <c r="U679">
        <v>0</v>
      </c>
      <c r="V679">
        <v>0</v>
      </c>
      <c r="W679">
        <v>0</v>
      </c>
      <c r="X679">
        <v>0</v>
      </c>
      <c r="Y679">
        <v>26628291</v>
      </c>
      <c r="Z679">
        <v>26774730</v>
      </c>
      <c r="AA679">
        <f t="shared" si="21"/>
        <v>-83800</v>
      </c>
      <c r="AB679">
        <f t="shared" si="20"/>
        <v>-0.78022075219611653</v>
      </c>
    </row>
    <row r="680" spans="1:28">
      <c r="A680" t="s">
        <v>47</v>
      </c>
      <c r="B680" s="2">
        <v>45352</v>
      </c>
      <c r="C680" s="2">
        <v>45323</v>
      </c>
      <c r="D680" s="2">
        <v>45415</v>
      </c>
      <c r="E680">
        <v>78825538</v>
      </c>
      <c r="F680">
        <v>78436629</v>
      </c>
      <c r="G680">
        <v>-388909</v>
      </c>
      <c r="H680">
        <v>91.22</v>
      </c>
      <c r="I680">
        <v>610000</v>
      </c>
      <c r="J680" t="s">
        <v>29</v>
      </c>
      <c r="K680">
        <v>61.39</v>
      </c>
      <c r="L680">
        <v>62</v>
      </c>
      <c r="M680">
        <v>29266114</v>
      </c>
      <c r="N680">
        <v>29405361</v>
      </c>
      <c r="O680">
        <v>213</v>
      </c>
      <c r="P680">
        <v>4</v>
      </c>
      <c r="Q680">
        <v>15708535</v>
      </c>
      <c r="R680">
        <v>15618312</v>
      </c>
      <c r="S680">
        <v>7939281</v>
      </c>
      <c r="T680">
        <v>7485604</v>
      </c>
      <c r="U680">
        <v>180341</v>
      </c>
      <c r="V680">
        <v>181317</v>
      </c>
      <c r="W680">
        <v>0</v>
      </c>
      <c r="X680">
        <v>0</v>
      </c>
      <c r="Y680">
        <v>25731054</v>
      </c>
      <c r="Z680">
        <v>25746031</v>
      </c>
      <c r="AA680">
        <f t="shared" si="21"/>
        <v>-90223</v>
      </c>
      <c r="AB680">
        <f t="shared" si="20"/>
        <v>-0.57435655202728964</v>
      </c>
    </row>
    <row r="681" spans="1:28">
      <c r="A681" t="s">
        <v>48</v>
      </c>
      <c r="B681" s="2">
        <v>45352</v>
      </c>
      <c r="C681" s="2">
        <v>45323</v>
      </c>
      <c r="D681" s="2">
        <v>45415</v>
      </c>
      <c r="E681">
        <v>102058337</v>
      </c>
      <c r="F681">
        <v>102118149</v>
      </c>
      <c r="G681">
        <v>59812</v>
      </c>
      <c r="H681">
        <v>88.73</v>
      </c>
      <c r="I681">
        <v>1550000</v>
      </c>
      <c r="J681" t="s">
        <v>29</v>
      </c>
      <c r="K681">
        <v>88.67</v>
      </c>
      <c r="L681">
        <v>90.22</v>
      </c>
      <c r="M681">
        <v>37105908</v>
      </c>
      <c r="N681">
        <v>37315603</v>
      </c>
      <c r="O681">
        <v>0</v>
      </c>
      <c r="P681">
        <v>0</v>
      </c>
      <c r="Q681">
        <v>17368030</v>
      </c>
      <c r="R681">
        <v>17407394</v>
      </c>
      <c r="S681">
        <v>7847050</v>
      </c>
      <c r="T681">
        <v>7390773</v>
      </c>
      <c r="U681">
        <v>0</v>
      </c>
      <c r="V681">
        <v>0</v>
      </c>
      <c r="W681">
        <v>0</v>
      </c>
      <c r="X681">
        <v>0</v>
      </c>
      <c r="Y681">
        <v>39737349</v>
      </c>
      <c r="Z681">
        <v>40004379</v>
      </c>
      <c r="AA681">
        <f t="shared" si="21"/>
        <v>39364</v>
      </c>
      <c r="AB681">
        <f t="shared" si="20"/>
        <v>0.2266463150973369</v>
      </c>
    </row>
    <row r="682" spans="1:28">
      <c r="A682" t="s">
        <v>49</v>
      </c>
      <c r="B682" s="2">
        <v>45352</v>
      </c>
      <c r="C682" s="2">
        <v>45323</v>
      </c>
      <c r="D682" s="2">
        <v>45415</v>
      </c>
      <c r="E682">
        <v>63434603</v>
      </c>
      <c r="F682">
        <v>63538217</v>
      </c>
      <c r="G682">
        <v>103614</v>
      </c>
      <c r="H682">
        <v>92.73</v>
      </c>
      <c r="I682">
        <v>1030000</v>
      </c>
      <c r="J682" t="s">
        <v>29</v>
      </c>
      <c r="K682">
        <v>67.739999999999995</v>
      </c>
      <c r="L682">
        <v>68.77</v>
      </c>
      <c r="M682">
        <v>18772499</v>
      </c>
      <c r="N682">
        <v>18858334</v>
      </c>
      <c r="O682">
        <v>5</v>
      </c>
      <c r="P682">
        <v>0</v>
      </c>
      <c r="Q682">
        <v>15580489</v>
      </c>
      <c r="R682">
        <v>15525461</v>
      </c>
      <c r="S682">
        <v>4921579</v>
      </c>
      <c r="T682">
        <v>4874908</v>
      </c>
      <c r="U682">
        <v>0</v>
      </c>
      <c r="V682">
        <v>0</v>
      </c>
      <c r="W682">
        <v>0</v>
      </c>
      <c r="X682">
        <v>0</v>
      </c>
      <c r="Y682">
        <v>24160031</v>
      </c>
      <c r="Z682">
        <v>24279514</v>
      </c>
      <c r="AA682">
        <f t="shared" si="21"/>
        <v>-55028</v>
      </c>
      <c r="AB682">
        <f t="shared" si="20"/>
        <v>-0.35318532043506462</v>
      </c>
    </row>
    <row r="683" spans="1:28">
      <c r="A683" t="s">
        <v>50</v>
      </c>
      <c r="B683" s="2">
        <v>45352</v>
      </c>
      <c r="C683" s="2">
        <v>45323</v>
      </c>
      <c r="D683" s="2">
        <v>45415</v>
      </c>
      <c r="E683">
        <v>57787444</v>
      </c>
      <c r="F683">
        <v>57899911</v>
      </c>
      <c r="G683">
        <v>112467</v>
      </c>
      <c r="H683">
        <v>90.7</v>
      </c>
      <c r="I683">
        <v>900000</v>
      </c>
      <c r="J683" t="s">
        <v>29</v>
      </c>
      <c r="K683">
        <v>54.04</v>
      </c>
      <c r="L683">
        <v>54.94</v>
      </c>
      <c r="M683">
        <v>17983125</v>
      </c>
      <c r="N683">
        <v>18102939</v>
      </c>
      <c r="O683">
        <v>76</v>
      </c>
      <c r="P683">
        <v>0</v>
      </c>
      <c r="Q683">
        <v>13174374</v>
      </c>
      <c r="R683">
        <v>13068442</v>
      </c>
      <c r="S683">
        <v>2322968</v>
      </c>
      <c r="T683">
        <v>2331648</v>
      </c>
      <c r="U683">
        <v>0</v>
      </c>
      <c r="V683">
        <v>0</v>
      </c>
      <c r="W683">
        <v>0</v>
      </c>
      <c r="X683">
        <v>0</v>
      </c>
      <c r="Y683">
        <v>24306901</v>
      </c>
      <c r="Z683">
        <v>24396882</v>
      </c>
      <c r="AA683">
        <f t="shared" si="21"/>
        <v>-105932</v>
      </c>
      <c r="AB683">
        <f t="shared" si="20"/>
        <v>-0.80407615572474256</v>
      </c>
    </row>
    <row r="684" spans="1:28">
      <c r="A684" t="s">
        <v>28</v>
      </c>
      <c r="B684" s="2">
        <v>45383</v>
      </c>
      <c r="C684" s="2">
        <v>45352</v>
      </c>
      <c r="D684" s="2">
        <v>45462</v>
      </c>
      <c r="E684">
        <v>83825444</v>
      </c>
      <c r="F684">
        <v>83756135</v>
      </c>
      <c r="G684">
        <v>-69309</v>
      </c>
      <c r="H684">
        <v>91.11</v>
      </c>
      <c r="I684">
        <v>500000</v>
      </c>
      <c r="J684" t="s">
        <v>29</v>
      </c>
      <c r="K684">
        <v>65.069999999999993</v>
      </c>
      <c r="L684">
        <v>65.569999999999993</v>
      </c>
      <c r="M684">
        <v>33747893</v>
      </c>
      <c r="N684">
        <v>33802990</v>
      </c>
      <c r="O684">
        <v>0</v>
      </c>
      <c r="P684">
        <v>0</v>
      </c>
      <c r="Q684">
        <v>10775447</v>
      </c>
      <c r="R684">
        <v>10751901</v>
      </c>
      <c r="S684">
        <v>6555686</v>
      </c>
      <c r="T684">
        <v>6298530</v>
      </c>
      <c r="U684">
        <v>0</v>
      </c>
      <c r="V684">
        <v>0</v>
      </c>
      <c r="W684">
        <v>0</v>
      </c>
      <c r="X684">
        <v>0</v>
      </c>
      <c r="Y684">
        <v>32746418</v>
      </c>
      <c r="Z684">
        <v>32902714</v>
      </c>
      <c r="AA684">
        <f t="shared" si="21"/>
        <v>-23546</v>
      </c>
      <c r="AB684">
        <f t="shared" si="20"/>
        <v>-0.21851529685961057</v>
      </c>
    </row>
    <row r="685" spans="1:28">
      <c r="A685" t="s">
        <v>30</v>
      </c>
      <c r="B685" s="2">
        <v>45383</v>
      </c>
      <c r="C685" s="2">
        <v>45352</v>
      </c>
      <c r="D685" s="2">
        <v>45462</v>
      </c>
      <c r="E685">
        <v>26366520</v>
      </c>
      <c r="F685">
        <v>26395748</v>
      </c>
      <c r="G685">
        <v>29228</v>
      </c>
      <c r="H685">
        <v>95.61</v>
      </c>
      <c r="I685">
        <v>90000</v>
      </c>
      <c r="J685" t="s">
        <v>29</v>
      </c>
      <c r="K685">
        <v>6.9</v>
      </c>
      <c r="L685">
        <v>6.99</v>
      </c>
      <c r="M685">
        <v>11816732</v>
      </c>
      <c r="N685">
        <v>11842815</v>
      </c>
      <c r="O685">
        <v>0</v>
      </c>
      <c r="P685">
        <v>0</v>
      </c>
      <c r="Q685">
        <v>1562512</v>
      </c>
      <c r="R685">
        <v>1556432</v>
      </c>
      <c r="S685">
        <v>3076922</v>
      </c>
      <c r="T685">
        <v>2997110</v>
      </c>
      <c r="U685">
        <v>0</v>
      </c>
      <c r="V685">
        <v>0</v>
      </c>
      <c r="W685">
        <v>0</v>
      </c>
      <c r="X685">
        <v>0</v>
      </c>
      <c r="Y685">
        <v>9910354</v>
      </c>
      <c r="Z685">
        <v>9999391</v>
      </c>
      <c r="AA685">
        <f t="shared" si="21"/>
        <v>-6080</v>
      </c>
      <c r="AB685">
        <f t="shared" si="20"/>
        <v>-0.38911701158135104</v>
      </c>
    </row>
    <row r="686" spans="1:28">
      <c r="A686" t="s">
        <v>31</v>
      </c>
      <c r="B686" s="2">
        <v>45383</v>
      </c>
      <c r="C686" s="2">
        <v>45352</v>
      </c>
      <c r="D686" s="2">
        <v>45462</v>
      </c>
      <c r="E686">
        <v>95476743</v>
      </c>
      <c r="F686">
        <v>95947474</v>
      </c>
      <c r="G686">
        <v>470731</v>
      </c>
      <c r="H686">
        <v>90.23</v>
      </c>
      <c r="I686">
        <v>790000</v>
      </c>
      <c r="J686" t="s">
        <v>29</v>
      </c>
      <c r="K686">
        <v>53.16</v>
      </c>
      <c r="L686">
        <v>53.95</v>
      </c>
      <c r="M686">
        <v>41601529</v>
      </c>
      <c r="N686">
        <v>41479959</v>
      </c>
      <c r="O686">
        <v>0</v>
      </c>
      <c r="P686">
        <v>0</v>
      </c>
      <c r="Q686">
        <v>7689305</v>
      </c>
      <c r="R686">
        <v>7723950</v>
      </c>
      <c r="S686">
        <v>5232153</v>
      </c>
      <c r="T686">
        <v>5243821</v>
      </c>
      <c r="U686">
        <v>0</v>
      </c>
      <c r="V686">
        <v>0</v>
      </c>
      <c r="W686">
        <v>0</v>
      </c>
      <c r="X686">
        <v>0</v>
      </c>
      <c r="Y686">
        <v>40953756</v>
      </c>
      <c r="Z686">
        <v>41499744</v>
      </c>
      <c r="AA686">
        <f t="shared" si="21"/>
        <v>34645</v>
      </c>
      <c r="AB686">
        <f t="shared" si="20"/>
        <v>0.4505608764381176</v>
      </c>
    </row>
    <row r="687" spans="1:28">
      <c r="A687" t="s">
        <v>32</v>
      </c>
      <c r="B687" s="2">
        <v>45383</v>
      </c>
      <c r="C687" s="2">
        <v>45352</v>
      </c>
      <c r="D687" s="2">
        <v>45462</v>
      </c>
      <c r="E687">
        <v>56698541</v>
      </c>
      <c r="F687">
        <v>56695190</v>
      </c>
      <c r="G687">
        <v>-3351</v>
      </c>
      <c r="H687">
        <v>59.37</v>
      </c>
      <c r="I687">
        <v>550000</v>
      </c>
      <c r="J687" t="s">
        <v>29</v>
      </c>
      <c r="K687">
        <v>46.26</v>
      </c>
      <c r="L687">
        <v>46.81</v>
      </c>
      <c r="M687">
        <v>18185677</v>
      </c>
      <c r="N687">
        <v>18236749</v>
      </c>
      <c r="O687">
        <v>0</v>
      </c>
      <c r="P687">
        <v>0</v>
      </c>
      <c r="Q687">
        <v>16542428</v>
      </c>
      <c r="R687">
        <v>16469388</v>
      </c>
      <c r="S687">
        <v>0</v>
      </c>
      <c r="T687">
        <v>0</v>
      </c>
      <c r="U687">
        <v>0</v>
      </c>
      <c r="V687">
        <v>0</v>
      </c>
      <c r="W687">
        <v>1685818</v>
      </c>
      <c r="X687">
        <v>1685302</v>
      </c>
      <c r="Y687">
        <v>20284618</v>
      </c>
      <c r="Z687">
        <v>20303751</v>
      </c>
      <c r="AA687">
        <f t="shared" si="21"/>
        <v>-73040</v>
      </c>
      <c r="AB687">
        <f t="shared" si="20"/>
        <v>-0.44153131571737841</v>
      </c>
    </row>
    <row r="688" spans="1:28">
      <c r="A688" t="s">
        <v>33</v>
      </c>
      <c r="B688" s="2">
        <v>45383</v>
      </c>
      <c r="C688" s="2">
        <v>45352</v>
      </c>
      <c r="D688" s="2">
        <v>45462</v>
      </c>
      <c r="E688">
        <v>65966737</v>
      </c>
      <c r="F688">
        <v>65526439</v>
      </c>
      <c r="G688">
        <v>-440298</v>
      </c>
      <c r="H688">
        <v>93.52</v>
      </c>
      <c r="I688">
        <v>760000</v>
      </c>
      <c r="J688" t="s">
        <v>29</v>
      </c>
      <c r="K688">
        <v>65.680000000000007</v>
      </c>
      <c r="L688">
        <v>66.44</v>
      </c>
      <c r="M688">
        <v>11867361</v>
      </c>
      <c r="N688">
        <v>11899129</v>
      </c>
      <c r="O688">
        <v>0</v>
      </c>
      <c r="P688">
        <v>0</v>
      </c>
      <c r="Q688">
        <v>20718941</v>
      </c>
      <c r="R688">
        <v>20594935</v>
      </c>
      <c r="S688">
        <v>3228496</v>
      </c>
      <c r="T688">
        <v>2663437</v>
      </c>
      <c r="U688">
        <v>0</v>
      </c>
      <c r="V688">
        <v>0</v>
      </c>
      <c r="W688">
        <v>0</v>
      </c>
      <c r="X688">
        <v>0</v>
      </c>
      <c r="Y688">
        <v>30151939</v>
      </c>
      <c r="Z688">
        <v>30368938</v>
      </c>
      <c r="AA688">
        <f t="shared" si="21"/>
        <v>-124006</v>
      </c>
      <c r="AB688">
        <f t="shared" si="20"/>
        <v>-0.59851514611678269</v>
      </c>
    </row>
    <row r="689" spans="1:28">
      <c r="A689" t="s">
        <v>34</v>
      </c>
      <c r="B689" s="2">
        <v>45383</v>
      </c>
      <c r="C689" s="2">
        <v>45352</v>
      </c>
      <c r="D689" s="2">
        <v>45462</v>
      </c>
      <c r="E689">
        <v>26621759</v>
      </c>
      <c r="F689">
        <v>26739518</v>
      </c>
      <c r="G689">
        <v>117759</v>
      </c>
      <c r="H689">
        <v>91.54</v>
      </c>
      <c r="I689">
        <v>340000</v>
      </c>
      <c r="J689" t="s">
        <v>29</v>
      </c>
      <c r="K689">
        <v>30.54</v>
      </c>
      <c r="L689">
        <v>30.88</v>
      </c>
      <c r="M689">
        <v>7025769</v>
      </c>
      <c r="N689">
        <v>7055277</v>
      </c>
      <c r="O689">
        <v>0</v>
      </c>
      <c r="P689">
        <v>0</v>
      </c>
      <c r="Q689">
        <v>6760161</v>
      </c>
      <c r="R689">
        <v>6747231</v>
      </c>
      <c r="S689">
        <v>4105614</v>
      </c>
      <c r="T689">
        <v>4151046</v>
      </c>
      <c r="U689">
        <v>0</v>
      </c>
      <c r="V689">
        <v>0</v>
      </c>
      <c r="W689">
        <v>0</v>
      </c>
      <c r="X689">
        <v>0</v>
      </c>
      <c r="Y689">
        <v>8730215</v>
      </c>
      <c r="Z689">
        <v>8785964</v>
      </c>
      <c r="AA689">
        <f t="shared" si="21"/>
        <v>-12930</v>
      </c>
      <c r="AB689">
        <f t="shared" si="20"/>
        <v>-0.19126763401049177</v>
      </c>
    </row>
    <row r="690" spans="1:28">
      <c r="A690" t="s">
        <v>35</v>
      </c>
      <c r="B690" s="2">
        <v>45383</v>
      </c>
      <c r="C690" s="2">
        <v>45352</v>
      </c>
      <c r="D690" s="2">
        <v>45462</v>
      </c>
      <c r="E690">
        <v>8800276</v>
      </c>
      <c r="F690">
        <v>8837381</v>
      </c>
      <c r="G690">
        <v>37105</v>
      </c>
      <c r="H690">
        <v>105.32</v>
      </c>
      <c r="I690">
        <v>40000</v>
      </c>
      <c r="J690" t="s">
        <v>29</v>
      </c>
      <c r="K690">
        <v>4.13</v>
      </c>
      <c r="L690">
        <v>4.17</v>
      </c>
      <c r="M690">
        <v>3580729</v>
      </c>
      <c r="N690">
        <v>3580137</v>
      </c>
      <c r="O690">
        <v>0</v>
      </c>
      <c r="P690">
        <v>0</v>
      </c>
      <c r="Q690">
        <v>399925</v>
      </c>
      <c r="R690">
        <v>399085</v>
      </c>
      <c r="S690">
        <v>1471707</v>
      </c>
      <c r="T690">
        <v>1499470</v>
      </c>
      <c r="U690">
        <v>0</v>
      </c>
      <c r="V690">
        <v>0</v>
      </c>
      <c r="W690">
        <v>0</v>
      </c>
      <c r="X690">
        <v>0</v>
      </c>
      <c r="Y690">
        <v>3347915</v>
      </c>
      <c r="Z690">
        <v>3358689</v>
      </c>
      <c r="AA690">
        <f t="shared" si="21"/>
        <v>-840</v>
      </c>
      <c r="AB690">
        <f t="shared" si="20"/>
        <v>-0.21003938238419703</v>
      </c>
    </row>
    <row r="691" spans="1:28">
      <c r="A691" t="s">
        <v>36</v>
      </c>
      <c r="B691" s="2">
        <v>45383</v>
      </c>
      <c r="C691" s="2">
        <v>45352</v>
      </c>
      <c r="D691" s="2">
        <v>45462</v>
      </c>
      <c r="E691">
        <v>12078113</v>
      </c>
      <c r="F691">
        <v>12172471</v>
      </c>
      <c r="G691">
        <v>94358</v>
      </c>
      <c r="H691">
        <v>85</v>
      </c>
      <c r="I691">
        <v>50000</v>
      </c>
      <c r="J691" t="s">
        <v>29</v>
      </c>
      <c r="K691">
        <v>2.46</v>
      </c>
      <c r="L691">
        <v>2.5099999999999998</v>
      </c>
      <c r="M691">
        <v>5959033</v>
      </c>
      <c r="N691">
        <v>6034748</v>
      </c>
      <c r="O691">
        <v>0</v>
      </c>
      <c r="P691">
        <v>0</v>
      </c>
      <c r="Q691">
        <v>297927</v>
      </c>
      <c r="R691">
        <v>297655</v>
      </c>
      <c r="S691">
        <v>781259</v>
      </c>
      <c r="T691">
        <v>775479</v>
      </c>
      <c r="U691">
        <v>0</v>
      </c>
      <c r="V691">
        <v>0</v>
      </c>
      <c r="W691">
        <v>0</v>
      </c>
      <c r="X691">
        <v>0</v>
      </c>
      <c r="Y691">
        <v>5039894</v>
      </c>
      <c r="Z691">
        <v>5064589</v>
      </c>
      <c r="AA691">
        <f t="shared" si="21"/>
        <v>-272</v>
      </c>
      <c r="AB691">
        <f t="shared" si="20"/>
        <v>-9.1297532617050495E-2</v>
      </c>
    </row>
    <row r="692" spans="1:28">
      <c r="A692" t="s">
        <v>37</v>
      </c>
      <c r="B692" s="2">
        <v>45383</v>
      </c>
      <c r="C692" s="2">
        <v>45352</v>
      </c>
      <c r="D692" s="2">
        <v>45462</v>
      </c>
      <c r="E692">
        <v>66907699</v>
      </c>
      <c r="F692">
        <v>67224159</v>
      </c>
      <c r="G692">
        <v>316460</v>
      </c>
      <c r="H692">
        <v>80.069999999999993</v>
      </c>
      <c r="I692">
        <v>490000</v>
      </c>
      <c r="J692" t="s">
        <v>29</v>
      </c>
      <c r="K692">
        <v>66.77</v>
      </c>
      <c r="L692">
        <v>67.260000000000005</v>
      </c>
      <c r="M692">
        <v>32180209</v>
      </c>
      <c r="N692">
        <v>32235233</v>
      </c>
      <c r="O692">
        <v>11</v>
      </c>
      <c r="P692">
        <v>2</v>
      </c>
      <c r="Q692">
        <v>6409744</v>
      </c>
      <c r="R692">
        <v>6445140</v>
      </c>
      <c r="S692">
        <v>4163875</v>
      </c>
      <c r="T692">
        <v>4167414</v>
      </c>
      <c r="U692">
        <v>0</v>
      </c>
      <c r="V692">
        <v>0</v>
      </c>
      <c r="W692">
        <v>0</v>
      </c>
      <c r="X692">
        <v>0</v>
      </c>
      <c r="Y692">
        <v>24153860</v>
      </c>
      <c r="Z692">
        <v>24376370</v>
      </c>
      <c r="AA692">
        <f t="shared" si="21"/>
        <v>35396</v>
      </c>
      <c r="AB692">
        <f t="shared" si="20"/>
        <v>0.55222174239720023</v>
      </c>
    </row>
    <row r="693" spans="1:28">
      <c r="A693" t="s">
        <v>38</v>
      </c>
      <c r="B693" s="2">
        <v>45383</v>
      </c>
      <c r="C693" s="2">
        <v>45352</v>
      </c>
      <c r="D693" s="2">
        <v>45462</v>
      </c>
      <c r="E693">
        <v>42257239</v>
      </c>
      <c r="F693">
        <v>42229418</v>
      </c>
      <c r="G693">
        <v>-27821</v>
      </c>
      <c r="H693">
        <v>95.24</v>
      </c>
      <c r="I693">
        <v>180000</v>
      </c>
      <c r="J693" t="s">
        <v>29</v>
      </c>
      <c r="K693">
        <v>23.46</v>
      </c>
      <c r="L693">
        <v>23.64</v>
      </c>
      <c r="M693">
        <v>8578649</v>
      </c>
      <c r="N693">
        <v>8652608</v>
      </c>
      <c r="O693">
        <v>13</v>
      </c>
      <c r="P693">
        <v>0</v>
      </c>
      <c r="Q693">
        <v>13645704</v>
      </c>
      <c r="R693">
        <v>13605281</v>
      </c>
      <c r="S693">
        <v>9049332</v>
      </c>
      <c r="T693">
        <v>8950516</v>
      </c>
      <c r="U693">
        <v>0</v>
      </c>
      <c r="V693">
        <v>0</v>
      </c>
      <c r="W693">
        <v>0</v>
      </c>
      <c r="X693">
        <v>0</v>
      </c>
      <c r="Y693">
        <v>10983541</v>
      </c>
      <c r="Z693">
        <v>11021013</v>
      </c>
      <c r="AA693">
        <f t="shared" si="21"/>
        <v>-40423</v>
      </c>
      <c r="AB693">
        <f t="shared" si="20"/>
        <v>-0.29623242597084032</v>
      </c>
    </row>
    <row r="694" spans="1:28">
      <c r="A694" t="s">
        <v>39</v>
      </c>
      <c r="B694" s="2">
        <v>45383</v>
      </c>
      <c r="C694" s="2">
        <v>45352</v>
      </c>
      <c r="D694" s="2">
        <v>45462</v>
      </c>
      <c r="E694">
        <v>23667394</v>
      </c>
      <c r="F694">
        <v>23538167</v>
      </c>
      <c r="G694">
        <v>-129227</v>
      </c>
      <c r="H694">
        <v>93.13</v>
      </c>
      <c r="I694">
        <v>160000</v>
      </c>
      <c r="J694" t="s">
        <v>29</v>
      </c>
      <c r="K694">
        <v>17.899999999999999</v>
      </c>
      <c r="L694">
        <v>18.059999999999999</v>
      </c>
      <c r="M694">
        <v>5693000</v>
      </c>
      <c r="N694">
        <v>5667019</v>
      </c>
      <c r="O694">
        <v>0</v>
      </c>
      <c r="P694">
        <v>0</v>
      </c>
      <c r="Q694">
        <v>5279015</v>
      </c>
      <c r="R694">
        <v>5281561</v>
      </c>
      <c r="S694">
        <v>1783000</v>
      </c>
      <c r="T694">
        <v>1671358</v>
      </c>
      <c r="U694">
        <v>0</v>
      </c>
      <c r="V694">
        <v>0</v>
      </c>
      <c r="W694">
        <v>0</v>
      </c>
      <c r="X694">
        <v>0</v>
      </c>
      <c r="Y694">
        <v>10912379</v>
      </c>
      <c r="Z694">
        <v>10918229</v>
      </c>
      <c r="AA694">
        <f t="shared" si="21"/>
        <v>2546</v>
      </c>
      <c r="AB694">
        <f t="shared" si="20"/>
        <v>4.8228694178743571E-2</v>
      </c>
    </row>
    <row r="695" spans="1:28">
      <c r="A695" t="s">
        <v>40</v>
      </c>
      <c r="B695" s="2">
        <v>45383</v>
      </c>
      <c r="C695" s="2">
        <v>45352</v>
      </c>
      <c r="D695" s="2">
        <v>45462</v>
      </c>
      <c r="E695">
        <v>79499616</v>
      </c>
      <c r="F695">
        <v>79857571</v>
      </c>
      <c r="G695">
        <v>357955</v>
      </c>
      <c r="H695">
        <v>85.35</v>
      </c>
      <c r="I695">
        <v>900000</v>
      </c>
      <c r="J695" t="s">
        <v>29</v>
      </c>
      <c r="K695">
        <v>74.38</v>
      </c>
      <c r="L695">
        <v>75.28</v>
      </c>
      <c r="M695">
        <v>16164992</v>
      </c>
      <c r="N695">
        <v>16188116</v>
      </c>
      <c r="O695">
        <v>0</v>
      </c>
      <c r="P695">
        <v>0</v>
      </c>
      <c r="Q695">
        <v>15548612</v>
      </c>
      <c r="R695">
        <v>15505081</v>
      </c>
      <c r="S695">
        <v>4706319</v>
      </c>
      <c r="T695">
        <v>4714048</v>
      </c>
      <c r="U695">
        <v>0</v>
      </c>
      <c r="V695">
        <v>0</v>
      </c>
      <c r="W695">
        <v>0</v>
      </c>
      <c r="X695">
        <v>0</v>
      </c>
      <c r="Y695">
        <v>43079693</v>
      </c>
      <c r="Z695">
        <v>43450326</v>
      </c>
      <c r="AA695">
        <f t="shared" si="21"/>
        <v>-43531</v>
      </c>
      <c r="AB695">
        <f t="shared" si="20"/>
        <v>-0.2799671121769583</v>
      </c>
    </row>
    <row r="696" spans="1:28">
      <c r="A696" t="s">
        <v>41</v>
      </c>
      <c r="B696" s="2">
        <v>45383</v>
      </c>
      <c r="C696" s="2">
        <v>45352</v>
      </c>
      <c r="D696" s="2">
        <v>45462</v>
      </c>
      <c r="E696">
        <v>93247080</v>
      </c>
      <c r="F696">
        <v>93089515</v>
      </c>
      <c r="G696">
        <v>-157565</v>
      </c>
      <c r="H696">
        <v>91.94</v>
      </c>
      <c r="I696">
        <v>870000</v>
      </c>
      <c r="J696" t="s">
        <v>29</v>
      </c>
      <c r="K696">
        <v>79.010000000000005</v>
      </c>
      <c r="L696">
        <v>79.88</v>
      </c>
      <c r="M696">
        <v>21758839</v>
      </c>
      <c r="N696">
        <v>21831018</v>
      </c>
      <c r="O696">
        <v>0</v>
      </c>
      <c r="P696">
        <v>0</v>
      </c>
      <c r="Q696">
        <v>22274096</v>
      </c>
      <c r="R696">
        <v>22100999</v>
      </c>
      <c r="S696">
        <v>5729299</v>
      </c>
      <c r="T696">
        <v>5633705</v>
      </c>
      <c r="U696">
        <v>0</v>
      </c>
      <c r="V696">
        <v>0</v>
      </c>
      <c r="W696">
        <v>0</v>
      </c>
      <c r="X696">
        <v>0</v>
      </c>
      <c r="Y696">
        <v>43484846</v>
      </c>
      <c r="Z696">
        <v>43523793</v>
      </c>
      <c r="AA696">
        <f t="shared" si="21"/>
        <v>-173097</v>
      </c>
      <c r="AB696">
        <f t="shared" si="20"/>
        <v>-0.77712244752828574</v>
      </c>
    </row>
    <row r="697" spans="1:28">
      <c r="A697" t="s">
        <v>42</v>
      </c>
      <c r="B697" s="2">
        <v>45383</v>
      </c>
      <c r="C697" s="2">
        <v>45352</v>
      </c>
      <c r="D697" s="2">
        <v>45462</v>
      </c>
      <c r="E697">
        <v>34358091</v>
      </c>
      <c r="F697">
        <v>34371158</v>
      </c>
      <c r="G697">
        <v>13067</v>
      </c>
      <c r="H697">
        <v>71.150000000000006</v>
      </c>
      <c r="I697">
        <v>240000</v>
      </c>
      <c r="J697" t="s">
        <v>29</v>
      </c>
      <c r="K697">
        <v>33.119999999999997</v>
      </c>
      <c r="L697">
        <v>33.36</v>
      </c>
      <c r="M697">
        <v>10038459</v>
      </c>
      <c r="N697">
        <v>10074700</v>
      </c>
      <c r="O697">
        <v>3</v>
      </c>
      <c r="P697">
        <v>0</v>
      </c>
      <c r="Q697">
        <v>10962574</v>
      </c>
      <c r="R697">
        <v>10877588</v>
      </c>
      <c r="S697">
        <v>0</v>
      </c>
      <c r="T697">
        <v>0</v>
      </c>
      <c r="U697">
        <v>0</v>
      </c>
      <c r="V697">
        <v>0</v>
      </c>
      <c r="W697">
        <v>240007</v>
      </c>
      <c r="X697">
        <v>236821</v>
      </c>
      <c r="Y697">
        <v>13117048</v>
      </c>
      <c r="Z697">
        <v>13182049</v>
      </c>
      <c r="AA697">
        <f t="shared" si="21"/>
        <v>-84986</v>
      </c>
      <c r="AB697">
        <f t="shared" si="20"/>
        <v>-0.77523764035709131</v>
      </c>
    </row>
    <row r="698" spans="1:28">
      <c r="A698" t="s">
        <v>43</v>
      </c>
      <c r="B698" s="2">
        <v>45383</v>
      </c>
      <c r="C698" s="2">
        <v>45352</v>
      </c>
      <c r="D698" s="2">
        <v>45462</v>
      </c>
      <c r="E698">
        <v>12550609</v>
      </c>
      <c r="F698">
        <v>12631712</v>
      </c>
      <c r="G698">
        <v>81103</v>
      </c>
      <c r="H698">
        <v>94.56</v>
      </c>
      <c r="I698">
        <v>30000</v>
      </c>
      <c r="J698" t="s">
        <v>29</v>
      </c>
      <c r="K698">
        <v>2.2000000000000002</v>
      </c>
      <c r="L698">
        <v>2.23</v>
      </c>
      <c r="M698">
        <v>6283732</v>
      </c>
      <c r="N698">
        <v>6329479</v>
      </c>
      <c r="O698">
        <v>0</v>
      </c>
      <c r="P698">
        <v>0</v>
      </c>
      <c r="Q698">
        <v>757938</v>
      </c>
      <c r="R698">
        <v>752436</v>
      </c>
      <c r="S698">
        <v>1240979</v>
      </c>
      <c r="T698">
        <v>1237585</v>
      </c>
      <c r="U698">
        <v>0</v>
      </c>
      <c r="V698">
        <v>0</v>
      </c>
      <c r="W698">
        <v>0</v>
      </c>
      <c r="X698">
        <v>0</v>
      </c>
      <c r="Y698">
        <v>4267960</v>
      </c>
      <c r="Z698">
        <v>4312212</v>
      </c>
      <c r="AA698">
        <f t="shared" si="21"/>
        <v>-5502</v>
      </c>
      <c r="AB698">
        <f t="shared" si="20"/>
        <v>-0.72591689557721084</v>
      </c>
    </row>
    <row r="699" spans="1:28">
      <c r="A699" t="s">
        <v>44</v>
      </c>
      <c r="B699" s="2">
        <v>45383</v>
      </c>
      <c r="C699" s="2">
        <v>45352</v>
      </c>
      <c r="D699" s="2">
        <v>45462</v>
      </c>
      <c r="E699">
        <v>33706035</v>
      </c>
      <c r="F699">
        <v>33720475</v>
      </c>
      <c r="G699">
        <v>14440</v>
      </c>
      <c r="H699">
        <v>98.15</v>
      </c>
      <c r="I699">
        <v>190000</v>
      </c>
      <c r="J699" t="s">
        <v>29</v>
      </c>
      <c r="K699">
        <v>17.04</v>
      </c>
      <c r="L699">
        <v>17.23</v>
      </c>
      <c r="M699">
        <v>11634283</v>
      </c>
      <c r="N699">
        <v>11643237</v>
      </c>
      <c r="O699">
        <v>0</v>
      </c>
      <c r="P699">
        <v>0</v>
      </c>
      <c r="Q699">
        <v>1447659</v>
      </c>
      <c r="R699">
        <v>1429455</v>
      </c>
      <c r="S699">
        <v>5429594</v>
      </c>
      <c r="T699">
        <v>5340098</v>
      </c>
      <c r="U699">
        <v>0</v>
      </c>
      <c r="V699">
        <v>0</v>
      </c>
      <c r="W699">
        <v>0</v>
      </c>
      <c r="X699">
        <v>0</v>
      </c>
      <c r="Y699">
        <v>15194499</v>
      </c>
      <c r="Z699">
        <v>15307685</v>
      </c>
      <c r="AA699">
        <f t="shared" si="21"/>
        <v>-18204</v>
      </c>
      <c r="AB699">
        <f t="shared" si="20"/>
        <v>-1.2574784531440069</v>
      </c>
    </row>
    <row r="700" spans="1:28">
      <c r="A700" t="s">
        <v>45</v>
      </c>
      <c r="B700" s="2">
        <v>45383</v>
      </c>
      <c r="C700" s="2">
        <v>45352</v>
      </c>
      <c r="D700" s="2">
        <v>45462</v>
      </c>
      <c r="E700">
        <v>35136737</v>
      </c>
      <c r="F700">
        <v>35235524</v>
      </c>
      <c r="G700">
        <v>98787</v>
      </c>
      <c r="H700">
        <v>92.94</v>
      </c>
      <c r="I700">
        <v>310000</v>
      </c>
      <c r="J700" t="s">
        <v>29</v>
      </c>
      <c r="K700">
        <v>32.369999999999997</v>
      </c>
      <c r="L700">
        <v>32.68</v>
      </c>
      <c r="M700">
        <v>12627262</v>
      </c>
      <c r="N700">
        <v>12643439</v>
      </c>
      <c r="O700">
        <v>0</v>
      </c>
      <c r="P700">
        <v>0</v>
      </c>
      <c r="Q700">
        <v>6469514</v>
      </c>
      <c r="R700">
        <v>6457103</v>
      </c>
      <c r="S700">
        <v>3867585</v>
      </c>
      <c r="T700">
        <v>3903491</v>
      </c>
      <c r="U700">
        <v>0</v>
      </c>
      <c r="V700">
        <v>0</v>
      </c>
      <c r="W700">
        <v>0</v>
      </c>
      <c r="X700">
        <v>0</v>
      </c>
      <c r="Y700">
        <v>12172376</v>
      </c>
      <c r="Z700">
        <v>12231491</v>
      </c>
      <c r="AA700">
        <f t="shared" si="21"/>
        <v>-12411</v>
      </c>
      <c r="AB700">
        <f t="shared" si="20"/>
        <v>-0.19183821226756756</v>
      </c>
    </row>
    <row r="701" spans="1:28">
      <c r="A701" t="s">
        <v>46</v>
      </c>
      <c r="B701" s="2">
        <v>45383</v>
      </c>
      <c r="C701" s="2">
        <v>45352</v>
      </c>
      <c r="D701" s="2">
        <v>45462</v>
      </c>
      <c r="E701">
        <v>66332797</v>
      </c>
      <c r="F701">
        <v>66488139</v>
      </c>
      <c r="G701">
        <v>155342</v>
      </c>
      <c r="H701">
        <v>92.47</v>
      </c>
      <c r="I701">
        <v>590000</v>
      </c>
      <c r="J701" t="s">
        <v>29</v>
      </c>
      <c r="K701">
        <v>66.14</v>
      </c>
      <c r="L701">
        <v>66.73</v>
      </c>
      <c r="M701">
        <v>23338405</v>
      </c>
      <c r="N701">
        <v>23370326</v>
      </c>
      <c r="O701">
        <v>0</v>
      </c>
      <c r="P701">
        <v>0</v>
      </c>
      <c r="Q701">
        <v>10656750</v>
      </c>
      <c r="R701">
        <v>10648894</v>
      </c>
      <c r="S701">
        <v>5562912</v>
      </c>
      <c r="T701">
        <v>5507916</v>
      </c>
      <c r="U701">
        <v>0</v>
      </c>
      <c r="V701">
        <v>0</v>
      </c>
      <c r="W701">
        <v>0</v>
      </c>
      <c r="X701">
        <v>0</v>
      </c>
      <c r="Y701">
        <v>26774730</v>
      </c>
      <c r="Z701">
        <v>26961003</v>
      </c>
      <c r="AA701">
        <f t="shared" si="21"/>
        <v>-7856</v>
      </c>
      <c r="AB701">
        <f t="shared" si="20"/>
        <v>-7.3718535200694407E-2</v>
      </c>
    </row>
    <row r="702" spans="1:28">
      <c r="A702" t="s">
        <v>47</v>
      </c>
      <c r="B702" s="2">
        <v>45383</v>
      </c>
      <c r="C702" s="2">
        <v>45352</v>
      </c>
      <c r="D702" s="2">
        <v>45462</v>
      </c>
      <c r="E702">
        <v>78436629</v>
      </c>
      <c r="F702">
        <v>78430629</v>
      </c>
      <c r="G702">
        <v>-6000</v>
      </c>
      <c r="H702">
        <v>90.82</v>
      </c>
      <c r="I702">
        <v>540000</v>
      </c>
      <c r="J702" t="s">
        <v>29</v>
      </c>
      <c r="K702">
        <v>62</v>
      </c>
      <c r="L702">
        <v>62.54</v>
      </c>
      <c r="M702">
        <v>29405361</v>
      </c>
      <c r="N702">
        <v>29488741</v>
      </c>
      <c r="O702">
        <v>4</v>
      </c>
      <c r="P702">
        <v>0</v>
      </c>
      <c r="Q702">
        <v>15618312</v>
      </c>
      <c r="R702">
        <v>15518545</v>
      </c>
      <c r="S702">
        <v>7485604</v>
      </c>
      <c r="T702">
        <v>7439395</v>
      </c>
      <c r="U702">
        <v>181317</v>
      </c>
      <c r="V702">
        <v>175938</v>
      </c>
      <c r="W702">
        <v>0</v>
      </c>
      <c r="X702">
        <v>0</v>
      </c>
      <c r="Y702">
        <v>25746031</v>
      </c>
      <c r="Z702">
        <v>25808010</v>
      </c>
      <c r="AA702">
        <f t="shared" si="21"/>
        <v>-99767</v>
      </c>
      <c r="AB702">
        <f t="shared" si="20"/>
        <v>-0.63878221923086187</v>
      </c>
    </row>
    <row r="703" spans="1:28">
      <c r="A703" t="s">
        <v>48</v>
      </c>
      <c r="B703" s="2">
        <v>45383</v>
      </c>
      <c r="C703" s="2">
        <v>45352</v>
      </c>
      <c r="D703" s="2">
        <v>45462</v>
      </c>
      <c r="E703">
        <v>102118149</v>
      </c>
      <c r="F703">
        <v>102333748</v>
      </c>
      <c r="G703">
        <v>215599</v>
      </c>
      <c r="H703">
        <v>91.28</v>
      </c>
      <c r="I703">
        <v>1550000</v>
      </c>
      <c r="J703" t="s">
        <v>29</v>
      </c>
      <c r="K703">
        <v>90.22</v>
      </c>
      <c r="L703">
        <v>91.77</v>
      </c>
      <c r="M703">
        <v>37315603</v>
      </c>
      <c r="N703">
        <v>37338963</v>
      </c>
      <c r="O703">
        <v>0</v>
      </c>
      <c r="P703">
        <v>0</v>
      </c>
      <c r="Q703">
        <v>17407394</v>
      </c>
      <c r="R703">
        <v>17309359</v>
      </c>
      <c r="S703">
        <v>7390773</v>
      </c>
      <c r="T703">
        <v>7447567</v>
      </c>
      <c r="U703">
        <v>0</v>
      </c>
      <c r="V703">
        <v>0</v>
      </c>
      <c r="W703">
        <v>0</v>
      </c>
      <c r="X703">
        <v>0</v>
      </c>
      <c r="Y703">
        <v>40004379</v>
      </c>
      <c r="Z703">
        <v>40237859</v>
      </c>
      <c r="AA703">
        <f t="shared" si="21"/>
        <v>-98035</v>
      </c>
      <c r="AB703">
        <f t="shared" si="20"/>
        <v>-0.56318022100263831</v>
      </c>
    </row>
    <row r="704" spans="1:28">
      <c r="A704" t="s">
        <v>49</v>
      </c>
      <c r="B704" s="2">
        <v>45383</v>
      </c>
      <c r="C704" s="2">
        <v>45352</v>
      </c>
      <c r="D704" s="2">
        <v>45462</v>
      </c>
      <c r="E704">
        <v>63538217</v>
      </c>
      <c r="F704">
        <v>63741968</v>
      </c>
      <c r="G704">
        <v>203751</v>
      </c>
      <c r="H704">
        <v>93.39</v>
      </c>
      <c r="I704">
        <v>1020000</v>
      </c>
      <c r="J704" t="s">
        <v>29</v>
      </c>
      <c r="K704">
        <v>68.77</v>
      </c>
      <c r="L704">
        <v>69.790000000000006</v>
      </c>
      <c r="M704">
        <v>18858334</v>
      </c>
      <c r="N704">
        <v>18918229</v>
      </c>
      <c r="O704">
        <v>0</v>
      </c>
      <c r="P704">
        <v>0</v>
      </c>
      <c r="Q704">
        <v>15525461</v>
      </c>
      <c r="R704">
        <v>15552927</v>
      </c>
      <c r="S704">
        <v>4874908</v>
      </c>
      <c r="T704">
        <v>4883224</v>
      </c>
      <c r="U704">
        <v>0</v>
      </c>
      <c r="V704">
        <v>0</v>
      </c>
      <c r="W704">
        <v>0</v>
      </c>
      <c r="X704">
        <v>0</v>
      </c>
      <c r="Y704">
        <v>24279514</v>
      </c>
      <c r="Z704">
        <v>24387588</v>
      </c>
      <c r="AA704">
        <f t="shared" si="21"/>
        <v>27466</v>
      </c>
      <c r="AB704">
        <f t="shared" si="20"/>
        <v>0.17690940062906987</v>
      </c>
    </row>
    <row r="705" spans="1:28">
      <c r="A705" t="s">
        <v>50</v>
      </c>
      <c r="B705" s="2">
        <v>45383</v>
      </c>
      <c r="C705" s="2">
        <v>45352</v>
      </c>
      <c r="D705" s="2">
        <v>45462</v>
      </c>
      <c r="E705">
        <v>57899911</v>
      </c>
      <c r="F705">
        <v>57995281</v>
      </c>
      <c r="G705">
        <v>95370</v>
      </c>
      <c r="H705">
        <v>90.24</v>
      </c>
      <c r="I705">
        <v>890000</v>
      </c>
      <c r="J705" t="s">
        <v>29</v>
      </c>
      <c r="K705">
        <v>54.94</v>
      </c>
      <c r="L705">
        <v>55.83</v>
      </c>
      <c r="M705">
        <v>18102939</v>
      </c>
      <c r="N705">
        <v>18204620</v>
      </c>
      <c r="O705">
        <v>0</v>
      </c>
      <c r="P705">
        <v>0</v>
      </c>
      <c r="Q705">
        <v>13068442</v>
      </c>
      <c r="R705">
        <v>13057527</v>
      </c>
      <c r="S705">
        <v>2331648</v>
      </c>
      <c r="T705">
        <v>2313911</v>
      </c>
      <c r="U705">
        <v>0</v>
      </c>
      <c r="V705">
        <v>0</v>
      </c>
      <c r="W705">
        <v>0</v>
      </c>
      <c r="X705">
        <v>0</v>
      </c>
      <c r="Y705">
        <v>24396882</v>
      </c>
      <c r="Z705">
        <v>24419223</v>
      </c>
      <c r="AA705">
        <f t="shared" si="21"/>
        <v>-10915</v>
      </c>
      <c r="AB705">
        <f t="shared" si="20"/>
        <v>-8.3521815377839217E-2</v>
      </c>
    </row>
    <row r="706" spans="1:28">
      <c r="A706" t="s">
        <v>28</v>
      </c>
      <c r="B706" s="2">
        <v>45413</v>
      </c>
      <c r="C706" s="2">
        <v>45383</v>
      </c>
      <c r="D706" s="2">
        <v>45489</v>
      </c>
      <c r="E706">
        <v>83756135</v>
      </c>
      <c r="F706">
        <v>84028006</v>
      </c>
      <c r="G706">
        <v>271871</v>
      </c>
      <c r="H706">
        <v>90.15</v>
      </c>
      <c r="I706">
        <v>540000</v>
      </c>
      <c r="J706" t="s">
        <v>29</v>
      </c>
      <c r="K706">
        <v>65.569999999999993</v>
      </c>
      <c r="L706">
        <v>66.11</v>
      </c>
      <c r="M706">
        <v>33802990</v>
      </c>
      <c r="N706">
        <v>34010404</v>
      </c>
      <c r="O706">
        <v>0</v>
      </c>
      <c r="P706">
        <v>0</v>
      </c>
      <c r="Q706">
        <v>10751901</v>
      </c>
      <c r="R706">
        <v>10727601</v>
      </c>
      <c r="S706">
        <v>6298530</v>
      </c>
      <c r="T706">
        <v>6295338</v>
      </c>
      <c r="U706">
        <v>0</v>
      </c>
      <c r="V706">
        <v>0</v>
      </c>
      <c r="W706">
        <v>0</v>
      </c>
      <c r="X706">
        <v>0</v>
      </c>
      <c r="Y706">
        <v>32902714</v>
      </c>
      <c r="Z706">
        <v>32994663</v>
      </c>
      <c r="AA706">
        <f t="shared" si="21"/>
        <v>-24300</v>
      </c>
      <c r="AB706">
        <f t="shared" si="20"/>
        <v>-0.22600654526115893</v>
      </c>
    </row>
    <row r="707" spans="1:28">
      <c r="A707" t="s">
        <v>30</v>
      </c>
      <c r="B707" s="2">
        <v>45413</v>
      </c>
      <c r="C707" s="2">
        <v>45383</v>
      </c>
      <c r="D707" s="2">
        <v>45489</v>
      </c>
      <c r="E707">
        <v>26395748</v>
      </c>
      <c r="F707">
        <v>26452478</v>
      </c>
      <c r="G707">
        <v>56730</v>
      </c>
      <c r="H707">
        <v>95.22</v>
      </c>
      <c r="I707">
        <v>110000</v>
      </c>
      <c r="J707" t="s">
        <v>29</v>
      </c>
      <c r="K707">
        <v>6.99</v>
      </c>
      <c r="L707">
        <v>7.1</v>
      </c>
      <c r="M707">
        <v>11842815</v>
      </c>
      <c r="N707">
        <v>11905489</v>
      </c>
      <c r="O707">
        <v>0</v>
      </c>
      <c r="P707">
        <v>0</v>
      </c>
      <c r="Q707">
        <v>1556432</v>
      </c>
      <c r="R707">
        <v>1544938</v>
      </c>
      <c r="S707">
        <v>2997110</v>
      </c>
      <c r="T707">
        <v>2977451</v>
      </c>
      <c r="U707">
        <v>0</v>
      </c>
      <c r="V707">
        <v>0</v>
      </c>
      <c r="W707">
        <v>0</v>
      </c>
      <c r="X707">
        <v>0</v>
      </c>
      <c r="Y707">
        <v>9999391</v>
      </c>
      <c r="Z707">
        <v>10024600</v>
      </c>
      <c r="AA707">
        <f t="shared" si="21"/>
        <v>-11494</v>
      </c>
      <c r="AB707">
        <f t="shared" ref="AB707:AB770" si="22">(($R707-$Q707)/$Q707)*100</f>
        <v>-0.738483917061587</v>
      </c>
    </row>
    <row r="708" spans="1:28">
      <c r="A708" t="s">
        <v>31</v>
      </c>
      <c r="B708" s="2">
        <v>45413</v>
      </c>
      <c r="C708" s="2">
        <v>45383</v>
      </c>
      <c r="D708" s="2">
        <v>45489</v>
      </c>
      <c r="E708">
        <v>95947474</v>
      </c>
      <c r="F708">
        <v>96131485</v>
      </c>
      <c r="G708">
        <v>184011</v>
      </c>
      <c r="H708">
        <v>88</v>
      </c>
      <c r="I708">
        <v>890000</v>
      </c>
      <c r="J708" t="s">
        <v>29</v>
      </c>
      <c r="K708">
        <v>53.95</v>
      </c>
      <c r="L708">
        <v>54.84</v>
      </c>
      <c r="M708">
        <v>41479959</v>
      </c>
      <c r="N708">
        <v>41474249</v>
      </c>
      <c r="O708">
        <v>0</v>
      </c>
      <c r="P708">
        <v>0</v>
      </c>
      <c r="Q708">
        <v>7723950</v>
      </c>
      <c r="R708">
        <v>7713573</v>
      </c>
      <c r="S708">
        <v>5243821</v>
      </c>
      <c r="T708">
        <v>5256069</v>
      </c>
      <c r="U708">
        <v>0</v>
      </c>
      <c r="V708">
        <v>0</v>
      </c>
      <c r="W708">
        <v>0</v>
      </c>
      <c r="X708">
        <v>0</v>
      </c>
      <c r="Y708">
        <v>41499744</v>
      </c>
      <c r="Z708">
        <v>41687594</v>
      </c>
      <c r="AA708">
        <f t="shared" ref="AA708:AA771" si="23">$R708-$Q708</f>
        <v>-10377</v>
      </c>
      <c r="AB708">
        <f t="shared" si="22"/>
        <v>-0.13434835802924669</v>
      </c>
    </row>
    <row r="709" spans="1:28">
      <c r="A709" t="s">
        <v>32</v>
      </c>
      <c r="B709" s="2">
        <v>45413</v>
      </c>
      <c r="C709" s="2">
        <v>45383</v>
      </c>
      <c r="D709" s="2">
        <v>45489</v>
      </c>
      <c r="E709">
        <v>56695190</v>
      </c>
      <c r="F709">
        <v>56855811</v>
      </c>
      <c r="G709">
        <v>160621</v>
      </c>
      <c r="H709">
        <v>58.33</v>
      </c>
      <c r="I709">
        <v>580000</v>
      </c>
      <c r="J709" t="s">
        <v>29</v>
      </c>
      <c r="K709">
        <v>46.81</v>
      </c>
      <c r="L709">
        <v>47.39</v>
      </c>
      <c r="M709">
        <v>18236749</v>
      </c>
      <c r="N709">
        <v>18281949</v>
      </c>
      <c r="O709">
        <v>0</v>
      </c>
      <c r="P709">
        <v>0</v>
      </c>
      <c r="Q709">
        <v>16469388</v>
      </c>
      <c r="R709">
        <v>16500155</v>
      </c>
      <c r="S709">
        <v>0</v>
      </c>
      <c r="T709">
        <v>0</v>
      </c>
      <c r="U709">
        <v>0</v>
      </c>
      <c r="V709">
        <v>0</v>
      </c>
      <c r="W709">
        <v>1685302</v>
      </c>
      <c r="X709">
        <v>1685013</v>
      </c>
      <c r="Y709">
        <v>20303751</v>
      </c>
      <c r="Z709">
        <v>20388694</v>
      </c>
      <c r="AA709">
        <f t="shared" si="23"/>
        <v>30767</v>
      </c>
      <c r="AB709">
        <f t="shared" si="22"/>
        <v>0.18681325620599867</v>
      </c>
    </row>
    <row r="710" spans="1:28">
      <c r="A710" t="s">
        <v>33</v>
      </c>
      <c r="B710" s="2">
        <v>45413</v>
      </c>
      <c r="C710" s="2">
        <v>45383</v>
      </c>
      <c r="D710" s="2">
        <v>45489</v>
      </c>
      <c r="E710">
        <v>65526439</v>
      </c>
      <c r="F710">
        <v>65596532</v>
      </c>
      <c r="G710">
        <v>70093</v>
      </c>
      <c r="H710">
        <v>94.44</v>
      </c>
      <c r="I710">
        <v>780000</v>
      </c>
      <c r="J710" t="s">
        <v>29</v>
      </c>
      <c r="K710">
        <v>66.44</v>
      </c>
      <c r="L710">
        <v>67.22</v>
      </c>
      <c r="M710">
        <v>11899129</v>
      </c>
      <c r="N710">
        <v>11924385</v>
      </c>
      <c r="O710">
        <v>0</v>
      </c>
      <c r="P710">
        <v>0</v>
      </c>
      <c r="Q710">
        <v>20594935</v>
      </c>
      <c r="R710">
        <v>20479326</v>
      </c>
      <c r="S710">
        <v>2663437</v>
      </c>
      <c r="T710">
        <v>2675956</v>
      </c>
      <c r="U710">
        <v>0</v>
      </c>
      <c r="V710">
        <v>0</v>
      </c>
      <c r="W710">
        <v>0</v>
      </c>
      <c r="X710">
        <v>0</v>
      </c>
      <c r="Y710">
        <v>30368938</v>
      </c>
      <c r="Z710">
        <v>30516865</v>
      </c>
      <c r="AA710">
        <f t="shared" si="23"/>
        <v>-115609</v>
      </c>
      <c r="AB710">
        <f t="shared" si="22"/>
        <v>-0.56134675831703285</v>
      </c>
    </row>
    <row r="711" spans="1:28">
      <c r="A711" t="s">
        <v>34</v>
      </c>
      <c r="B711" s="2">
        <v>45413</v>
      </c>
      <c r="C711" s="2">
        <v>45383</v>
      </c>
      <c r="D711" s="2">
        <v>45489</v>
      </c>
      <c r="E711">
        <v>26739518</v>
      </c>
      <c r="F711">
        <v>26609236</v>
      </c>
      <c r="G711">
        <v>-130282</v>
      </c>
      <c r="H711">
        <v>91.73</v>
      </c>
      <c r="I711">
        <v>350000</v>
      </c>
      <c r="J711" t="s">
        <v>29</v>
      </c>
      <c r="K711">
        <v>30.88</v>
      </c>
      <c r="L711">
        <v>31.23</v>
      </c>
      <c r="M711">
        <v>7055277</v>
      </c>
      <c r="N711">
        <v>7028290</v>
      </c>
      <c r="O711">
        <v>0</v>
      </c>
      <c r="P711">
        <v>0</v>
      </c>
      <c r="Q711">
        <v>6747231</v>
      </c>
      <c r="R711">
        <v>6728877</v>
      </c>
      <c r="S711">
        <v>4151046</v>
      </c>
      <c r="T711">
        <v>4055885</v>
      </c>
      <c r="U711">
        <v>0</v>
      </c>
      <c r="V711">
        <v>0</v>
      </c>
      <c r="W711">
        <v>0</v>
      </c>
      <c r="X711">
        <v>0</v>
      </c>
      <c r="Y711">
        <v>8785964</v>
      </c>
      <c r="Z711">
        <v>8796184</v>
      </c>
      <c r="AA711">
        <f t="shared" si="23"/>
        <v>-18354</v>
      </c>
      <c r="AB711">
        <f t="shared" si="22"/>
        <v>-0.27202270086795605</v>
      </c>
    </row>
    <row r="712" spans="1:28">
      <c r="A712" t="s">
        <v>35</v>
      </c>
      <c r="B712" s="2">
        <v>45413</v>
      </c>
      <c r="C712" s="2">
        <v>45383</v>
      </c>
      <c r="D712" s="2">
        <v>45489</v>
      </c>
      <c r="E712">
        <v>8837381</v>
      </c>
      <c r="F712">
        <v>8849549</v>
      </c>
      <c r="G712">
        <v>12168</v>
      </c>
      <c r="H712">
        <v>111.09</v>
      </c>
      <c r="I712">
        <v>40000</v>
      </c>
      <c r="J712" t="s">
        <v>29</v>
      </c>
      <c r="K712">
        <v>4.17</v>
      </c>
      <c r="L712">
        <v>4.21</v>
      </c>
      <c r="M712">
        <v>3580137</v>
      </c>
      <c r="N712">
        <v>3581035</v>
      </c>
      <c r="O712">
        <v>0</v>
      </c>
      <c r="P712">
        <v>0</v>
      </c>
      <c r="Q712">
        <v>399085</v>
      </c>
      <c r="R712">
        <v>395676</v>
      </c>
      <c r="S712">
        <v>1499470</v>
      </c>
      <c r="T712">
        <v>1507563</v>
      </c>
      <c r="U712">
        <v>0</v>
      </c>
      <c r="V712">
        <v>0</v>
      </c>
      <c r="W712">
        <v>0</v>
      </c>
      <c r="X712">
        <v>0</v>
      </c>
      <c r="Y712">
        <v>3358689</v>
      </c>
      <c r="Z712">
        <v>3365275</v>
      </c>
      <c r="AA712">
        <f t="shared" si="23"/>
        <v>-3409</v>
      </c>
      <c r="AB712">
        <f t="shared" si="22"/>
        <v>-0.85420399163085559</v>
      </c>
    </row>
    <row r="713" spans="1:28">
      <c r="A713" t="s">
        <v>36</v>
      </c>
      <c r="B713" s="2">
        <v>45413</v>
      </c>
      <c r="C713" s="2">
        <v>45383</v>
      </c>
      <c r="D713" s="2">
        <v>45489</v>
      </c>
      <c r="E713">
        <v>12172471</v>
      </c>
      <c r="F713">
        <v>12264182</v>
      </c>
      <c r="G713">
        <v>91711</v>
      </c>
      <c r="H713">
        <v>85.31</v>
      </c>
      <c r="I713">
        <v>70000</v>
      </c>
      <c r="J713" t="s">
        <v>29</v>
      </c>
      <c r="K713">
        <v>2.5099999999999998</v>
      </c>
      <c r="L713">
        <v>2.58</v>
      </c>
      <c r="M713">
        <v>6034748</v>
      </c>
      <c r="N713">
        <v>6096286</v>
      </c>
      <c r="O713">
        <v>0</v>
      </c>
      <c r="P713">
        <v>0</v>
      </c>
      <c r="Q713">
        <v>297655</v>
      </c>
      <c r="R713">
        <v>293024</v>
      </c>
      <c r="S713">
        <v>775479</v>
      </c>
      <c r="T713">
        <v>775103</v>
      </c>
      <c r="U713">
        <v>0</v>
      </c>
      <c r="V713">
        <v>0</v>
      </c>
      <c r="W713">
        <v>0</v>
      </c>
      <c r="X713">
        <v>0</v>
      </c>
      <c r="Y713">
        <v>5064589</v>
      </c>
      <c r="Z713">
        <v>5099769</v>
      </c>
      <c r="AA713">
        <f t="shared" si="23"/>
        <v>-4631</v>
      </c>
      <c r="AB713">
        <f t="shared" si="22"/>
        <v>-1.5558280559708388</v>
      </c>
    </row>
    <row r="714" spans="1:28">
      <c r="A714" t="s">
        <v>37</v>
      </c>
      <c r="B714" s="2">
        <v>45413</v>
      </c>
      <c r="C714" s="2">
        <v>45383</v>
      </c>
      <c r="D714" s="2">
        <v>45489</v>
      </c>
      <c r="E714">
        <v>67224159</v>
      </c>
      <c r="F714">
        <v>67485340</v>
      </c>
      <c r="G714">
        <v>261181</v>
      </c>
      <c r="H714">
        <v>81.39</v>
      </c>
      <c r="I714">
        <v>540000</v>
      </c>
      <c r="J714" t="s">
        <v>29</v>
      </c>
      <c r="K714">
        <v>67.260000000000005</v>
      </c>
      <c r="L714">
        <v>67.8</v>
      </c>
      <c r="M714">
        <v>32235233</v>
      </c>
      <c r="N714">
        <v>32384375</v>
      </c>
      <c r="O714">
        <v>2</v>
      </c>
      <c r="P714">
        <v>2</v>
      </c>
      <c r="Q714">
        <v>6445140</v>
      </c>
      <c r="R714">
        <v>6442419</v>
      </c>
      <c r="S714">
        <v>4167414</v>
      </c>
      <c r="T714">
        <v>4174103</v>
      </c>
      <c r="U714">
        <v>0</v>
      </c>
      <c r="V714">
        <v>0</v>
      </c>
      <c r="W714">
        <v>0</v>
      </c>
      <c r="X714">
        <v>0</v>
      </c>
      <c r="Y714">
        <v>24376370</v>
      </c>
      <c r="Z714">
        <v>24484441</v>
      </c>
      <c r="AA714">
        <f t="shared" si="23"/>
        <v>-2721</v>
      </c>
      <c r="AB714">
        <f t="shared" si="22"/>
        <v>-4.2217857176104781E-2</v>
      </c>
    </row>
    <row r="715" spans="1:28">
      <c r="A715" t="s">
        <v>38</v>
      </c>
      <c r="B715" s="2">
        <v>45413</v>
      </c>
      <c r="C715" s="2">
        <v>45383</v>
      </c>
      <c r="D715" s="2">
        <v>45489</v>
      </c>
      <c r="E715">
        <v>42229418</v>
      </c>
      <c r="F715">
        <v>42186763</v>
      </c>
      <c r="G715">
        <v>-42655</v>
      </c>
      <c r="H715">
        <v>93.05</v>
      </c>
      <c r="I715">
        <v>210000</v>
      </c>
      <c r="J715" t="s">
        <v>29</v>
      </c>
      <c r="K715">
        <v>23.64</v>
      </c>
      <c r="L715">
        <v>23.85</v>
      </c>
      <c r="M715">
        <v>8652608</v>
      </c>
      <c r="N715">
        <v>8746805</v>
      </c>
      <c r="O715">
        <v>0</v>
      </c>
      <c r="P715">
        <v>0</v>
      </c>
      <c r="Q715">
        <v>13605281</v>
      </c>
      <c r="R715">
        <v>13561115</v>
      </c>
      <c r="S715">
        <v>8950516</v>
      </c>
      <c r="T715">
        <v>8795341</v>
      </c>
      <c r="U715">
        <v>0</v>
      </c>
      <c r="V715">
        <v>0</v>
      </c>
      <c r="W715">
        <v>0</v>
      </c>
      <c r="X715">
        <v>0</v>
      </c>
      <c r="Y715">
        <v>11021013</v>
      </c>
      <c r="Z715">
        <v>11083502</v>
      </c>
      <c r="AA715">
        <f t="shared" si="23"/>
        <v>-44166</v>
      </c>
      <c r="AB715">
        <f t="shared" si="22"/>
        <v>-0.32462394565757224</v>
      </c>
    </row>
    <row r="716" spans="1:28">
      <c r="A716" t="s">
        <v>39</v>
      </c>
      <c r="B716" s="2">
        <v>45413</v>
      </c>
      <c r="C716" s="2">
        <v>45383</v>
      </c>
      <c r="D716" s="2">
        <v>45489</v>
      </c>
      <c r="E716">
        <v>23538167</v>
      </c>
      <c r="F716">
        <v>23482477</v>
      </c>
      <c r="G716">
        <v>-55690</v>
      </c>
      <c r="H716">
        <v>90.98</v>
      </c>
      <c r="I716">
        <v>170000</v>
      </c>
      <c r="J716" t="s">
        <v>29</v>
      </c>
      <c r="K716">
        <v>18.059999999999999</v>
      </c>
      <c r="L716">
        <v>18.23</v>
      </c>
      <c r="M716">
        <v>5667019</v>
      </c>
      <c r="N716">
        <v>5660012</v>
      </c>
      <c r="O716">
        <v>0</v>
      </c>
      <c r="P716">
        <v>0</v>
      </c>
      <c r="Q716">
        <v>5281561</v>
      </c>
      <c r="R716">
        <v>5263082</v>
      </c>
      <c r="S716">
        <v>1671358</v>
      </c>
      <c r="T716">
        <v>1573316</v>
      </c>
      <c r="U716">
        <v>0</v>
      </c>
      <c r="V716">
        <v>0</v>
      </c>
      <c r="W716">
        <v>0</v>
      </c>
      <c r="X716">
        <v>0</v>
      </c>
      <c r="Y716">
        <v>10918229</v>
      </c>
      <c r="Z716">
        <v>10986067</v>
      </c>
      <c r="AA716">
        <f t="shared" si="23"/>
        <v>-18479</v>
      </c>
      <c r="AB716">
        <f t="shared" si="22"/>
        <v>-0.34987762140776185</v>
      </c>
    </row>
    <row r="717" spans="1:28">
      <c r="A717" t="s">
        <v>40</v>
      </c>
      <c r="B717" s="2">
        <v>45413</v>
      </c>
      <c r="C717" s="2">
        <v>45383</v>
      </c>
      <c r="D717" s="2">
        <v>45489</v>
      </c>
      <c r="E717">
        <v>79857571</v>
      </c>
      <c r="F717">
        <v>80268896</v>
      </c>
      <c r="G717">
        <v>411325</v>
      </c>
      <c r="H717">
        <v>84.84</v>
      </c>
      <c r="I717">
        <v>1070000</v>
      </c>
      <c r="J717" t="s">
        <v>29</v>
      </c>
      <c r="K717">
        <v>75.28</v>
      </c>
      <c r="L717">
        <v>76.349999999999994</v>
      </c>
      <c r="M717">
        <v>16188116</v>
      </c>
      <c r="N717">
        <v>16228824</v>
      </c>
      <c r="O717">
        <v>0</v>
      </c>
      <c r="P717">
        <v>0</v>
      </c>
      <c r="Q717">
        <v>15505081</v>
      </c>
      <c r="R717">
        <v>15436309</v>
      </c>
      <c r="S717">
        <v>4714048</v>
      </c>
      <c r="T717">
        <v>4659304</v>
      </c>
      <c r="U717">
        <v>0</v>
      </c>
      <c r="V717">
        <v>0</v>
      </c>
      <c r="W717">
        <v>0</v>
      </c>
      <c r="X717">
        <v>0</v>
      </c>
      <c r="Y717">
        <v>43450326</v>
      </c>
      <c r="Z717">
        <v>43944459</v>
      </c>
      <c r="AA717">
        <f t="shared" si="23"/>
        <v>-68772</v>
      </c>
      <c r="AB717">
        <f t="shared" si="22"/>
        <v>-0.44354492569242304</v>
      </c>
    </row>
    <row r="718" spans="1:28">
      <c r="A718" t="s">
        <v>41</v>
      </c>
      <c r="B718" s="2">
        <v>45413</v>
      </c>
      <c r="C718" s="2">
        <v>45383</v>
      </c>
      <c r="D718" s="2">
        <v>45489</v>
      </c>
      <c r="E718">
        <v>93089515</v>
      </c>
      <c r="F718">
        <v>92963870</v>
      </c>
      <c r="G718">
        <v>-125645</v>
      </c>
      <c r="H718">
        <v>91.35</v>
      </c>
      <c r="I718">
        <v>890000</v>
      </c>
      <c r="J718" t="s">
        <v>29</v>
      </c>
      <c r="K718">
        <v>79.88</v>
      </c>
      <c r="L718">
        <v>80.77</v>
      </c>
      <c r="M718">
        <v>21831018</v>
      </c>
      <c r="N718">
        <v>21919771</v>
      </c>
      <c r="O718">
        <v>0</v>
      </c>
      <c r="P718">
        <v>0</v>
      </c>
      <c r="Q718">
        <v>22100999</v>
      </c>
      <c r="R718">
        <v>21981186</v>
      </c>
      <c r="S718">
        <v>5633705</v>
      </c>
      <c r="T718">
        <v>5655254</v>
      </c>
      <c r="U718">
        <v>0</v>
      </c>
      <c r="V718">
        <v>0</v>
      </c>
      <c r="W718">
        <v>0</v>
      </c>
      <c r="X718">
        <v>0</v>
      </c>
      <c r="Y718">
        <v>43523793</v>
      </c>
      <c r="Z718">
        <v>43407659</v>
      </c>
      <c r="AA718">
        <f t="shared" si="23"/>
        <v>-119813</v>
      </c>
      <c r="AB718">
        <f t="shared" si="22"/>
        <v>-0.54211576589818411</v>
      </c>
    </row>
    <row r="719" spans="1:28">
      <c r="A719" t="s">
        <v>42</v>
      </c>
      <c r="B719" s="2">
        <v>45413</v>
      </c>
      <c r="C719" s="2">
        <v>45383</v>
      </c>
      <c r="D719" s="2">
        <v>45489</v>
      </c>
      <c r="E719">
        <v>34371158</v>
      </c>
      <c r="F719">
        <v>34224083</v>
      </c>
      <c r="G719">
        <v>-147075</v>
      </c>
      <c r="H719">
        <v>67.53</v>
      </c>
      <c r="I719">
        <v>250000</v>
      </c>
      <c r="J719" t="s">
        <v>29</v>
      </c>
      <c r="K719">
        <v>33.36</v>
      </c>
      <c r="L719">
        <v>33.61</v>
      </c>
      <c r="M719">
        <v>10074700</v>
      </c>
      <c r="N719">
        <v>10117220</v>
      </c>
      <c r="O719">
        <v>0</v>
      </c>
      <c r="P719">
        <v>0</v>
      </c>
      <c r="Q719">
        <v>10877588</v>
      </c>
      <c r="R719">
        <v>10705134</v>
      </c>
      <c r="S719">
        <v>0</v>
      </c>
      <c r="T719">
        <v>0</v>
      </c>
      <c r="U719">
        <v>0</v>
      </c>
      <c r="V719">
        <v>0</v>
      </c>
      <c r="W719">
        <v>236821</v>
      </c>
      <c r="X719">
        <v>233680</v>
      </c>
      <c r="Y719">
        <v>13182049</v>
      </c>
      <c r="Z719">
        <v>13168049</v>
      </c>
      <c r="AA719">
        <f t="shared" si="23"/>
        <v>-172454</v>
      </c>
      <c r="AB719">
        <f t="shared" si="22"/>
        <v>-1.5854066177170896</v>
      </c>
    </row>
    <row r="720" spans="1:28">
      <c r="A720" t="s">
        <v>43</v>
      </c>
      <c r="B720" s="2">
        <v>45413</v>
      </c>
      <c r="C720" s="2">
        <v>45383</v>
      </c>
      <c r="D720" s="2">
        <v>45489</v>
      </c>
      <c r="E720">
        <v>12631712</v>
      </c>
      <c r="F720">
        <v>12692180</v>
      </c>
      <c r="G720">
        <v>60468</v>
      </c>
      <c r="H720">
        <v>94.45</v>
      </c>
      <c r="I720">
        <v>30000</v>
      </c>
      <c r="J720" t="s">
        <v>29</v>
      </c>
      <c r="K720">
        <v>2.23</v>
      </c>
      <c r="L720">
        <v>2.2599999999999998</v>
      </c>
      <c r="M720">
        <v>6329479</v>
      </c>
      <c r="N720">
        <v>6348113</v>
      </c>
      <c r="O720">
        <v>0</v>
      </c>
      <c r="P720">
        <v>0</v>
      </c>
      <c r="Q720">
        <v>752436</v>
      </c>
      <c r="R720">
        <v>744341</v>
      </c>
      <c r="S720">
        <v>1237585</v>
      </c>
      <c r="T720">
        <v>1233208</v>
      </c>
      <c r="U720">
        <v>0</v>
      </c>
      <c r="V720">
        <v>0</v>
      </c>
      <c r="W720">
        <v>0</v>
      </c>
      <c r="X720">
        <v>0</v>
      </c>
      <c r="Y720">
        <v>4312212</v>
      </c>
      <c r="Z720">
        <v>4366518</v>
      </c>
      <c r="AA720">
        <f t="shared" si="23"/>
        <v>-8095</v>
      </c>
      <c r="AB720">
        <f t="shared" si="22"/>
        <v>-1.0758390082345874</v>
      </c>
    </row>
    <row r="721" spans="1:28">
      <c r="A721" t="s">
        <v>44</v>
      </c>
      <c r="B721" s="2">
        <v>45413</v>
      </c>
      <c r="C721" s="2">
        <v>45383</v>
      </c>
      <c r="D721" s="2">
        <v>45489</v>
      </c>
      <c r="E721">
        <v>33720475</v>
      </c>
      <c r="F721">
        <v>33874616</v>
      </c>
      <c r="G721">
        <v>154141</v>
      </c>
      <c r="H721">
        <v>96.71</v>
      </c>
      <c r="I721">
        <v>200000</v>
      </c>
      <c r="J721" t="s">
        <v>29</v>
      </c>
      <c r="K721">
        <v>17.23</v>
      </c>
      <c r="L721">
        <v>17.43</v>
      </c>
      <c r="M721">
        <v>11643237</v>
      </c>
      <c r="N721">
        <v>11631129</v>
      </c>
      <c r="O721">
        <v>0</v>
      </c>
      <c r="P721">
        <v>0</v>
      </c>
      <c r="Q721">
        <v>1429455</v>
      </c>
      <c r="R721">
        <v>1416414</v>
      </c>
      <c r="S721">
        <v>5340098</v>
      </c>
      <c r="T721">
        <v>5334229</v>
      </c>
      <c r="U721">
        <v>0</v>
      </c>
      <c r="V721">
        <v>0</v>
      </c>
      <c r="W721">
        <v>0</v>
      </c>
      <c r="X721">
        <v>0</v>
      </c>
      <c r="Y721">
        <v>15307685</v>
      </c>
      <c r="Z721">
        <v>15492844</v>
      </c>
      <c r="AA721">
        <f t="shared" si="23"/>
        <v>-13041</v>
      </c>
      <c r="AB721">
        <f t="shared" si="22"/>
        <v>-0.91230573890048994</v>
      </c>
    </row>
    <row r="722" spans="1:28">
      <c r="A722" t="s">
        <v>45</v>
      </c>
      <c r="B722" s="2">
        <v>45413</v>
      </c>
      <c r="C722" s="2">
        <v>45383</v>
      </c>
      <c r="D722" s="2">
        <v>45489</v>
      </c>
      <c r="E722">
        <v>35235524</v>
      </c>
      <c r="F722">
        <v>34991886</v>
      </c>
      <c r="G722">
        <v>-243638</v>
      </c>
      <c r="H722">
        <v>92.45</v>
      </c>
      <c r="I722">
        <v>300000</v>
      </c>
      <c r="J722" t="s">
        <v>29</v>
      </c>
      <c r="K722">
        <v>32.68</v>
      </c>
      <c r="L722">
        <v>32.979999999999997</v>
      </c>
      <c r="M722">
        <v>12643439</v>
      </c>
      <c r="N722">
        <v>12609543</v>
      </c>
      <c r="O722">
        <v>0</v>
      </c>
      <c r="P722">
        <v>0</v>
      </c>
      <c r="Q722">
        <v>6457103</v>
      </c>
      <c r="R722">
        <v>6444950</v>
      </c>
      <c r="S722">
        <v>3903491</v>
      </c>
      <c r="T722">
        <v>3720785</v>
      </c>
      <c r="U722">
        <v>0</v>
      </c>
      <c r="V722">
        <v>0</v>
      </c>
      <c r="W722">
        <v>0</v>
      </c>
      <c r="X722">
        <v>0</v>
      </c>
      <c r="Y722">
        <v>12231491</v>
      </c>
      <c r="Z722">
        <v>12216608</v>
      </c>
      <c r="AA722">
        <f t="shared" si="23"/>
        <v>-12153</v>
      </c>
      <c r="AB722">
        <f t="shared" si="22"/>
        <v>-0.1882113387381307</v>
      </c>
    </row>
    <row r="723" spans="1:28">
      <c r="A723" t="s">
        <v>46</v>
      </c>
      <c r="B723" s="2">
        <v>45413</v>
      </c>
      <c r="C723" s="2">
        <v>45383</v>
      </c>
      <c r="D723" s="2">
        <v>45489</v>
      </c>
      <c r="E723">
        <v>66488139</v>
      </c>
      <c r="F723">
        <v>66585334</v>
      </c>
      <c r="G723">
        <v>97195</v>
      </c>
      <c r="H723">
        <v>92.1</v>
      </c>
      <c r="I723">
        <v>690000</v>
      </c>
      <c r="J723" t="s">
        <v>29</v>
      </c>
      <c r="K723">
        <v>66.73</v>
      </c>
      <c r="L723">
        <v>67.42</v>
      </c>
      <c r="M723">
        <v>23370326</v>
      </c>
      <c r="N723">
        <v>23474299</v>
      </c>
      <c r="O723">
        <v>0</v>
      </c>
      <c r="P723">
        <v>0</v>
      </c>
      <c r="Q723">
        <v>10648894</v>
      </c>
      <c r="R723">
        <v>10551397</v>
      </c>
      <c r="S723">
        <v>5507916</v>
      </c>
      <c r="T723">
        <v>5521645</v>
      </c>
      <c r="U723">
        <v>0</v>
      </c>
      <c r="V723">
        <v>0</v>
      </c>
      <c r="W723">
        <v>0</v>
      </c>
      <c r="X723">
        <v>0</v>
      </c>
      <c r="Y723">
        <v>26961003</v>
      </c>
      <c r="Z723">
        <v>27037993</v>
      </c>
      <c r="AA723">
        <f t="shared" si="23"/>
        <v>-97497</v>
      </c>
      <c r="AB723">
        <f t="shared" si="22"/>
        <v>-0.91555986940991241</v>
      </c>
    </row>
    <row r="724" spans="1:28">
      <c r="A724" t="s">
        <v>47</v>
      </c>
      <c r="B724" s="2">
        <v>45413</v>
      </c>
      <c r="C724" s="2">
        <v>45383</v>
      </c>
      <c r="D724" s="2">
        <v>45489</v>
      </c>
      <c r="E724">
        <v>78430629</v>
      </c>
      <c r="F724">
        <v>78632876</v>
      </c>
      <c r="G724">
        <v>202247</v>
      </c>
      <c r="H724">
        <v>89.58</v>
      </c>
      <c r="I724">
        <v>560000</v>
      </c>
      <c r="J724" t="s">
        <v>29</v>
      </c>
      <c r="K724">
        <v>62.54</v>
      </c>
      <c r="L724">
        <v>63.1</v>
      </c>
      <c r="M724">
        <v>29488741</v>
      </c>
      <c r="N724">
        <v>29681291</v>
      </c>
      <c r="O724">
        <v>0</v>
      </c>
      <c r="P724">
        <v>0</v>
      </c>
      <c r="Q724">
        <v>15518545</v>
      </c>
      <c r="R724">
        <v>15495199</v>
      </c>
      <c r="S724">
        <v>7439395</v>
      </c>
      <c r="T724">
        <v>7419439</v>
      </c>
      <c r="U724">
        <v>175938</v>
      </c>
      <c r="V724">
        <v>167635</v>
      </c>
      <c r="W724">
        <v>0</v>
      </c>
      <c r="X724">
        <v>0</v>
      </c>
      <c r="Y724">
        <v>25808010</v>
      </c>
      <c r="Z724">
        <v>25869312</v>
      </c>
      <c r="AA724">
        <f t="shared" si="23"/>
        <v>-23346</v>
      </c>
      <c r="AB724">
        <f t="shared" si="22"/>
        <v>-0.15043936142209208</v>
      </c>
    </row>
    <row r="725" spans="1:28">
      <c r="A725" t="s">
        <v>48</v>
      </c>
      <c r="B725" s="2">
        <v>45413</v>
      </c>
      <c r="C725" s="2">
        <v>45383</v>
      </c>
      <c r="D725" s="2">
        <v>45489</v>
      </c>
      <c r="E725">
        <v>102333748</v>
      </c>
      <c r="F725">
        <v>102710656</v>
      </c>
      <c r="G725">
        <v>376908</v>
      </c>
      <c r="H725">
        <v>90.74</v>
      </c>
      <c r="I725">
        <v>1650000</v>
      </c>
      <c r="J725" t="s">
        <v>29</v>
      </c>
      <c r="K725">
        <v>91.77</v>
      </c>
      <c r="L725">
        <v>93.42</v>
      </c>
      <c r="M725">
        <v>37338963</v>
      </c>
      <c r="N725">
        <v>37426815</v>
      </c>
      <c r="O725">
        <v>0</v>
      </c>
      <c r="P725">
        <v>0</v>
      </c>
      <c r="Q725">
        <v>17309359</v>
      </c>
      <c r="R725">
        <v>17245091</v>
      </c>
      <c r="S725">
        <v>7447567</v>
      </c>
      <c r="T725">
        <v>7475025</v>
      </c>
      <c r="U725">
        <v>0</v>
      </c>
      <c r="V725">
        <v>0</v>
      </c>
      <c r="W725">
        <v>0</v>
      </c>
      <c r="X725">
        <v>0</v>
      </c>
      <c r="Y725">
        <v>40237859</v>
      </c>
      <c r="Z725">
        <v>40563725</v>
      </c>
      <c r="AA725">
        <f t="shared" si="23"/>
        <v>-64268</v>
      </c>
      <c r="AB725">
        <f t="shared" si="22"/>
        <v>-0.37129046777526536</v>
      </c>
    </row>
    <row r="726" spans="1:28">
      <c r="A726" t="s">
        <v>49</v>
      </c>
      <c r="B726" s="2">
        <v>45413</v>
      </c>
      <c r="C726" s="2">
        <v>45383</v>
      </c>
      <c r="D726" s="2">
        <v>45489</v>
      </c>
      <c r="E726">
        <v>63741968</v>
      </c>
      <c r="F726">
        <v>63936775</v>
      </c>
      <c r="G726">
        <v>194807</v>
      </c>
      <c r="H726">
        <v>98.74</v>
      </c>
      <c r="I726">
        <v>1190000</v>
      </c>
      <c r="J726" t="s">
        <v>29</v>
      </c>
      <c r="K726">
        <v>69.790000000000006</v>
      </c>
      <c r="L726">
        <v>70.98</v>
      </c>
      <c r="M726">
        <v>18918229</v>
      </c>
      <c r="N726">
        <v>18962036</v>
      </c>
      <c r="O726">
        <v>0</v>
      </c>
      <c r="P726">
        <v>0</v>
      </c>
      <c r="Q726">
        <v>15552927</v>
      </c>
      <c r="R726">
        <v>15510494</v>
      </c>
      <c r="S726">
        <v>4883224</v>
      </c>
      <c r="T726">
        <v>4890092</v>
      </c>
      <c r="U726">
        <v>0</v>
      </c>
      <c r="V726">
        <v>0</v>
      </c>
      <c r="W726">
        <v>0</v>
      </c>
      <c r="X726">
        <v>0</v>
      </c>
      <c r="Y726">
        <v>24387588</v>
      </c>
      <c r="Z726">
        <v>24574153</v>
      </c>
      <c r="AA726">
        <f t="shared" si="23"/>
        <v>-42433</v>
      </c>
      <c r="AB726">
        <f t="shared" si="22"/>
        <v>-0.272829673797093</v>
      </c>
    </row>
    <row r="727" spans="1:28">
      <c r="A727" t="s">
        <v>50</v>
      </c>
      <c r="B727" s="2">
        <v>45413</v>
      </c>
      <c r="C727" s="2">
        <v>45383</v>
      </c>
      <c r="D727" s="2">
        <v>45489</v>
      </c>
      <c r="E727">
        <v>57995281</v>
      </c>
      <c r="F727">
        <v>58131835</v>
      </c>
      <c r="G727">
        <v>136554</v>
      </c>
      <c r="H727">
        <v>89.09</v>
      </c>
      <c r="I727">
        <v>910000</v>
      </c>
      <c r="J727" t="s">
        <v>29</v>
      </c>
      <c r="K727">
        <v>55.83</v>
      </c>
      <c r="L727">
        <v>56.74</v>
      </c>
      <c r="M727">
        <v>18204620</v>
      </c>
      <c r="N727">
        <v>18275872</v>
      </c>
      <c r="O727">
        <v>0</v>
      </c>
      <c r="P727">
        <v>0</v>
      </c>
      <c r="Q727">
        <v>13057527</v>
      </c>
      <c r="R727">
        <v>12977375</v>
      </c>
      <c r="S727">
        <v>2313911</v>
      </c>
      <c r="T727">
        <v>2331371</v>
      </c>
      <c r="U727">
        <v>0</v>
      </c>
      <c r="V727">
        <v>0</v>
      </c>
      <c r="W727">
        <v>0</v>
      </c>
      <c r="X727">
        <v>0</v>
      </c>
      <c r="Y727">
        <v>24419223</v>
      </c>
      <c r="Z727">
        <v>24547217</v>
      </c>
      <c r="AA727">
        <f t="shared" si="23"/>
        <v>-80152</v>
      </c>
      <c r="AB727">
        <f t="shared" si="22"/>
        <v>-0.61383752068825903</v>
      </c>
    </row>
    <row r="728" spans="1:28">
      <c r="A728" t="s">
        <v>28</v>
      </c>
      <c r="B728" s="2">
        <v>45444</v>
      </c>
      <c r="C728" s="2">
        <v>45413</v>
      </c>
      <c r="D728" s="2">
        <v>45524</v>
      </c>
      <c r="E728">
        <v>84028006</v>
      </c>
      <c r="F728">
        <v>84147834</v>
      </c>
      <c r="G728">
        <v>119828</v>
      </c>
      <c r="H728">
        <v>89.28</v>
      </c>
      <c r="I728">
        <v>540000</v>
      </c>
      <c r="J728" t="s">
        <v>29</v>
      </c>
      <c r="K728">
        <v>66.11</v>
      </c>
      <c r="L728">
        <v>66.650000000000006</v>
      </c>
      <c r="M728">
        <v>34010404</v>
      </c>
      <c r="N728">
        <v>34108778</v>
      </c>
      <c r="O728">
        <v>0</v>
      </c>
      <c r="P728">
        <v>0</v>
      </c>
      <c r="Q728">
        <v>10727601</v>
      </c>
      <c r="R728">
        <v>10689294</v>
      </c>
      <c r="S728">
        <v>6295338</v>
      </c>
      <c r="T728">
        <v>6279421</v>
      </c>
      <c r="U728">
        <v>0</v>
      </c>
      <c r="V728">
        <v>0</v>
      </c>
      <c r="W728">
        <v>0</v>
      </c>
      <c r="X728">
        <v>0</v>
      </c>
      <c r="Y728">
        <v>32994663</v>
      </c>
      <c r="Z728">
        <v>33070341</v>
      </c>
      <c r="AA728">
        <f t="shared" si="23"/>
        <v>-38307</v>
      </c>
      <c r="AB728">
        <f t="shared" si="22"/>
        <v>-0.35708822503745247</v>
      </c>
    </row>
    <row r="729" spans="1:28">
      <c r="A729" t="s">
        <v>30</v>
      </c>
      <c r="B729" s="2">
        <v>45444</v>
      </c>
      <c r="C729" s="2">
        <v>45413</v>
      </c>
      <c r="D729" s="2">
        <v>45524</v>
      </c>
      <c r="E729">
        <v>26452478</v>
      </c>
      <c r="F729">
        <v>26498936</v>
      </c>
      <c r="G729">
        <v>46458</v>
      </c>
      <c r="H729">
        <v>93.98</v>
      </c>
      <c r="I729">
        <v>120000</v>
      </c>
      <c r="J729" t="s">
        <v>29</v>
      </c>
      <c r="K729">
        <v>7.1</v>
      </c>
      <c r="L729">
        <v>7.22</v>
      </c>
      <c r="M729">
        <v>11905489</v>
      </c>
      <c r="N729">
        <v>11966802</v>
      </c>
      <c r="O729">
        <v>0</v>
      </c>
      <c r="P729">
        <v>0</v>
      </c>
      <c r="Q729">
        <v>1544938</v>
      </c>
      <c r="R729">
        <v>1523045</v>
      </c>
      <c r="S729">
        <v>2977451</v>
      </c>
      <c r="T729">
        <v>2976580</v>
      </c>
      <c r="U729">
        <v>0</v>
      </c>
      <c r="V729">
        <v>0</v>
      </c>
      <c r="W729">
        <v>0</v>
      </c>
      <c r="X729">
        <v>0</v>
      </c>
      <c r="Y729">
        <v>10024600</v>
      </c>
      <c r="Z729">
        <v>10032509</v>
      </c>
      <c r="AA729">
        <f t="shared" si="23"/>
        <v>-21893</v>
      </c>
      <c r="AB729">
        <f t="shared" si="22"/>
        <v>-1.4170795203432112</v>
      </c>
    </row>
    <row r="730" spans="1:28">
      <c r="A730" t="s">
        <v>31</v>
      </c>
      <c r="B730" s="2">
        <v>45444</v>
      </c>
      <c r="C730" s="2">
        <v>45413</v>
      </c>
      <c r="D730" s="2">
        <v>45524</v>
      </c>
      <c r="E730">
        <v>96131485</v>
      </c>
      <c r="F730">
        <v>96157631</v>
      </c>
      <c r="G730">
        <v>26146</v>
      </c>
      <c r="H730">
        <v>85.31</v>
      </c>
      <c r="I730">
        <v>910000</v>
      </c>
      <c r="J730" t="s">
        <v>29</v>
      </c>
      <c r="K730">
        <v>54.84</v>
      </c>
      <c r="L730">
        <v>55.75</v>
      </c>
      <c r="M730">
        <v>41474249</v>
      </c>
      <c r="N730">
        <v>41485026</v>
      </c>
      <c r="O730">
        <v>0</v>
      </c>
      <c r="P730">
        <v>0</v>
      </c>
      <c r="Q730">
        <v>7713573</v>
      </c>
      <c r="R730">
        <v>7651158</v>
      </c>
      <c r="S730">
        <v>5256069</v>
      </c>
      <c r="T730">
        <v>5201342</v>
      </c>
      <c r="U730">
        <v>0</v>
      </c>
      <c r="V730">
        <v>0</v>
      </c>
      <c r="W730">
        <v>0</v>
      </c>
      <c r="X730">
        <v>0</v>
      </c>
      <c r="Y730">
        <v>41687594</v>
      </c>
      <c r="Z730">
        <v>41820105</v>
      </c>
      <c r="AA730">
        <f t="shared" si="23"/>
        <v>-62415</v>
      </c>
      <c r="AB730">
        <f t="shared" si="22"/>
        <v>-0.80915809055025467</v>
      </c>
    </row>
    <row r="731" spans="1:28">
      <c r="A731" t="s">
        <v>32</v>
      </c>
      <c r="B731" s="2">
        <v>45444</v>
      </c>
      <c r="C731" s="2">
        <v>45413</v>
      </c>
      <c r="D731" s="2">
        <v>45524</v>
      </c>
      <c r="E731">
        <v>56855811</v>
      </c>
      <c r="F731">
        <v>57049532</v>
      </c>
      <c r="G731">
        <v>193721</v>
      </c>
      <c r="H731">
        <v>56.94</v>
      </c>
      <c r="I731">
        <v>530000</v>
      </c>
      <c r="J731" t="s">
        <v>29</v>
      </c>
      <c r="K731">
        <v>47.39</v>
      </c>
      <c r="L731">
        <v>47.92</v>
      </c>
      <c r="M731">
        <v>18281949</v>
      </c>
      <c r="N731">
        <v>18306388</v>
      </c>
      <c r="O731">
        <v>0</v>
      </c>
      <c r="P731">
        <v>0</v>
      </c>
      <c r="Q731">
        <v>16500155</v>
      </c>
      <c r="R731">
        <v>16594301</v>
      </c>
      <c r="S731">
        <v>0</v>
      </c>
      <c r="T731">
        <v>0</v>
      </c>
      <c r="U731">
        <v>0</v>
      </c>
      <c r="V731">
        <v>0</v>
      </c>
      <c r="W731">
        <v>1685013</v>
      </c>
      <c r="X731">
        <v>1684323</v>
      </c>
      <c r="Y731">
        <v>20388694</v>
      </c>
      <c r="Z731">
        <v>20464520</v>
      </c>
      <c r="AA731">
        <f t="shared" si="23"/>
        <v>94146</v>
      </c>
      <c r="AB731">
        <f t="shared" si="22"/>
        <v>0.57057645822115011</v>
      </c>
    </row>
    <row r="732" spans="1:28">
      <c r="A732" t="s">
        <v>33</v>
      </c>
      <c r="B732" s="2">
        <v>45444</v>
      </c>
      <c r="C732" s="2">
        <v>45413</v>
      </c>
      <c r="D732" s="2">
        <v>45524</v>
      </c>
      <c r="E732">
        <v>65596532</v>
      </c>
      <c r="F732">
        <v>65665046</v>
      </c>
      <c r="G732">
        <v>68514</v>
      </c>
      <c r="H732">
        <v>93.11</v>
      </c>
      <c r="I732">
        <v>740000</v>
      </c>
      <c r="J732" t="s">
        <v>29</v>
      </c>
      <c r="K732">
        <v>67.22</v>
      </c>
      <c r="L732">
        <v>67.959999999999994</v>
      </c>
      <c r="M732">
        <v>11924385</v>
      </c>
      <c r="N732">
        <v>11944421</v>
      </c>
      <c r="O732">
        <v>0</v>
      </c>
      <c r="P732">
        <v>0</v>
      </c>
      <c r="Q732">
        <v>20479326</v>
      </c>
      <c r="R732">
        <v>20379486</v>
      </c>
      <c r="S732">
        <v>2675956</v>
      </c>
      <c r="T732">
        <v>2679193</v>
      </c>
      <c r="U732">
        <v>0</v>
      </c>
      <c r="V732">
        <v>0</v>
      </c>
      <c r="W732">
        <v>0</v>
      </c>
      <c r="X732">
        <v>0</v>
      </c>
      <c r="Y732">
        <v>30516865</v>
      </c>
      <c r="Z732">
        <v>30661946</v>
      </c>
      <c r="AA732">
        <f t="shared" si="23"/>
        <v>-99840</v>
      </c>
      <c r="AB732">
        <f t="shared" si="22"/>
        <v>-0.48751604422918998</v>
      </c>
    </row>
    <row r="733" spans="1:28">
      <c r="A733" t="s">
        <v>34</v>
      </c>
      <c r="B733" s="2">
        <v>45444</v>
      </c>
      <c r="C733" s="2">
        <v>45413</v>
      </c>
      <c r="D733" s="2">
        <v>45524</v>
      </c>
      <c r="E733">
        <v>26609236</v>
      </c>
      <c r="F733">
        <v>26593414</v>
      </c>
      <c r="G733">
        <v>-15822</v>
      </c>
      <c r="H733">
        <v>91.13</v>
      </c>
      <c r="I733">
        <v>330000</v>
      </c>
      <c r="J733" t="s">
        <v>29</v>
      </c>
      <c r="K733">
        <v>31.23</v>
      </c>
      <c r="L733">
        <v>31.56</v>
      </c>
      <c r="M733">
        <v>7028290</v>
      </c>
      <c r="N733">
        <v>7091863</v>
      </c>
      <c r="O733">
        <v>0</v>
      </c>
      <c r="P733">
        <v>0</v>
      </c>
      <c r="Q733">
        <v>6728877</v>
      </c>
      <c r="R733">
        <v>6717606</v>
      </c>
      <c r="S733">
        <v>4055885</v>
      </c>
      <c r="T733">
        <v>4055837</v>
      </c>
      <c r="U733">
        <v>0</v>
      </c>
      <c r="V733">
        <v>0</v>
      </c>
      <c r="W733">
        <v>0</v>
      </c>
      <c r="X733">
        <v>0</v>
      </c>
      <c r="Y733">
        <v>8796184</v>
      </c>
      <c r="Z733">
        <v>8728108</v>
      </c>
      <c r="AA733">
        <f t="shared" si="23"/>
        <v>-11271</v>
      </c>
      <c r="AB733">
        <f t="shared" si="22"/>
        <v>-0.16750194720456327</v>
      </c>
    </row>
    <row r="734" spans="1:28">
      <c r="A734" t="s">
        <v>35</v>
      </c>
      <c r="B734" s="2">
        <v>45444</v>
      </c>
      <c r="C734" s="2">
        <v>45413</v>
      </c>
      <c r="D734" s="2">
        <v>45524</v>
      </c>
      <c r="E734">
        <v>8849549</v>
      </c>
      <c r="F734">
        <v>8828173</v>
      </c>
      <c r="G734">
        <v>-21376</v>
      </c>
      <c r="H734">
        <v>114.97</v>
      </c>
      <c r="I734">
        <v>40000</v>
      </c>
      <c r="J734" t="s">
        <v>29</v>
      </c>
      <c r="K734">
        <v>4.21</v>
      </c>
      <c r="L734">
        <v>4.25</v>
      </c>
      <c r="M734">
        <v>3581035</v>
      </c>
      <c r="N734">
        <v>3595981</v>
      </c>
      <c r="O734">
        <v>0</v>
      </c>
      <c r="P734">
        <v>0</v>
      </c>
      <c r="Q734">
        <v>395676</v>
      </c>
      <c r="R734">
        <v>392830</v>
      </c>
      <c r="S734">
        <v>1507563</v>
      </c>
      <c r="T734">
        <v>1513110</v>
      </c>
      <c r="U734">
        <v>0</v>
      </c>
      <c r="V734">
        <v>0</v>
      </c>
      <c r="W734">
        <v>0</v>
      </c>
      <c r="X734">
        <v>0</v>
      </c>
      <c r="Y734">
        <v>3365275</v>
      </c>
      <c r="Z734">
        <v>3326252</v>
      </c>
      <c r="AA734">
        <f t="shared" si="23"/>
        <v>-2846</v>
      </c>
      <c r="AB734">
        <f t="shared" si="22"/>
        <v>-0.71927536671418035</v>
      </c>
    </row>
    <row r="735" spans="1:28">
      <c r="A735" t="s">
        <v>36</v>
      </c>
      <c r="B735" s="2">
        <v>45444</v>
      </c>
      <c r="C735" s="2">
        <v>45413</v>
      </c>
      <c r="D735" s="2">
        <v>45524</v>
      </c>
      <c r="E735">
        <v>12264182</v>
      </c>
      <c r="F735">
        <v>12415260</v>
      </c>
      <c r="G735">
        <v>151078</v>
      </c>
      <c r="H735">
        <v>85.11</v>
      </c>
      <c r="I735">
        <v>60000</v>
      </c>
      <c r="J735" t="s">
        <v>29</v>
      </c>
      <c r="K735">
        <v>2.58</v>
      </c>
      <c r="L735">
        <v>2.64</v>
      </c>
      <c r="M735">
        <v>6096286</v>
      </c>
      <c r="N735">
        <v>6179394</v>
      </c>
      <c r="O735">
        <v>0</v>
      </c>
      <c r="P735">
        <v>0</v>
      </c>
      <c r="Q735">
        <v>293024</v>
      </c>
      <c r="R735">
        <v>286760</v>
      </c>
      <c r="S735">
        <v>775103</v>
      </c>
      <c r="T735">
        <v>778473</v>
      </c>
      <c r="U735">
        <v>0</v>
      </c>
      <c r="V735">
        <v>0</v>
      </c>
      <c r="W735">
        <v>0</v>
      </c>
      <c r="X735">
        <v>0</v>
      </c>
      <c r="Y735">
        <v>5099769</v>
      </c>
      <c r="Z735">
        <v>5170633</v>
      </c>
      <c r="AA735">
        <f t="shared" si="23"/>
        <v>-6264</v>
      </c>
      <c r="AB735">
        <f t="shared" si="22"/>
        <v>-2.1377088566124276</v>
      </c>
    </row>
    <row r="736" spans="1:28">
      <c r="A736" t="s">
        <v>37</v>
      </c>
      <c r="B736" s="2">
        <v>45444</v>
      </c>
      <c r="C736" s="2">
        <v>45413</v>
      </c>
      <c r="D736" s="2">
        <v>45524</v>
      </c>
      <c r="E736">
        <v>67485340</v>
      </c>
      <c r="F736">
        <v>67506029</v>
      </c>
      <c r="G736">
        <v>20689</v>
      </c>
      <c r="H736">
        <v>79.760000000000005</v>
      </c>
      <c r="I736">
        <v>560000</v>
      </c>
      <c r="J736" t="s">
        <v>29</v>
      </c>
      <c r="K736">
        <v>67.8</v>
      </c>
      <c r="L736">
        <v>68.36</v>
      </c>
      <c r="M736">
        <v>32384375</v>
      </c>
      <c r="N736">
        <v>32470623</v>
      </c>
      <c r="O736">
        <v>2</v>
      </c>
      <c r="P736">
        <v>0</v>
      </c>
      <c r="Q736">
        <v>6442419</v>
      </c>
      <c r="R736">
        <v>6468809</v>
      </c>
      <c r="S736">
        <v>4174103</v>
      </c>
      <c r="T736">
        <v>4120157</v>
      </c>
      <c r="U736">
        <v>0</v>
      </c>
      <c r="V736">
        <v>0</v>
      </c>
      <c r="W736">
        <v>0</v>
      </c>
      <c r="X736">
        <v>0</v>
      </c>
      <c r="Y736">
        <v>24484441</v>
      </c>
      <c r="Z736">
        <v>24446440</v>
      </c>
      <c r="AA736">
        <f t="shared" si="23"/>
        <v>26390</v>
      </c>
      <c r="AB736">
        <f t="shared" si="22"/>
        <v>0.40962874348905276</v>
      </c>
    </row>
    <row r="737" spans="1:28">
      <c r="A737" t="s">
        <v>38</v>
      </c>
      <c r="B737" s="2">
        <v>45444</v>
      </c>
      <c r="C737" s="2">
        <v>45413</v>
      </c>
      <c r="D737" s="2">
        <v>45524</v>
      </c>
      <c r="E737">
        <v>42186763</v>
      </c>
      <c r="F737">
        <v>42005328</v>
      </c>
      <c r="G737">
        <v>-181435</v>
      </c>
      <c r="H737">
        <v>93.47</v>
      </c>
      <c r="I737">
        <v>220000</v>
      </c>
      <c r="J737" t="s">
        <v>29</v>
      </c>
      <c r="K737">
        <v>23.85</v>
      </c>
      <c r="L737">
        <v>24.07</v>
      </c>
      <c r="M737">
        <v>8746805</v>
      </c>
      <c r="N737">
        <v>8806722</v>
      </c>
      <c r="O737">
        <v>0</v>
      </c>
      <c r="P737">
        <v>0</v>
      </c>
      <c r="Q737">
        <v>13561115</v>
      </c>
      <c r="R737">
        <v>13463485</v>
      </c>
      <c r="S737">
        <v>8795341</v>
      </c>
      <c r="T737">
        <v>8586971</v>
      </c>
      <c r="U737">
        <v>0</v>
      </c>
      <c r="V737">
        <v>0</v>
      </c>
      <c r="W737">
        <v>0</v>
      </c>
      <c r="X737">
        <v>0</v>
      </c>
      <c r="Y737">
        <v>11083502</v>
      </c>
      <c r="Z737">
        <v>11148150</v>
      </c>
      <c r="AA737">
        <f t="shared" si="23"/>
        <v>-97630</v>
      </c>
      <c r="AB737">
        <f t="shared" si="22"/>
        <v>-0.71992605327806747</v>
      </c>
    </row>
    <row r="738" spans="1:28">
      <c r="A738" t="s">
        <v>39</v>
      </c>
      <c r="B738" s="2">
        <v>45444</v>
      </c>
      <c r="C738" s="2">
        <v>45413</v>
      </c>
      <c r="D738" s="2">
        <v>45524</v>
      </c>
      <c r="E738">
        <v>23482477</v>
      </c>
      <c r="F738">
        <v>23215489</v>
      </c>
      <c r="G738">
        <v>-266988</v>
      </c>
      <c r="H738">
        <v>88.23</v>
      </c>
      <c r="I738">
        <v>170000</v>
      </c>
      <c r="J738" t="s">
        <v>29</v>
      </c>
      <c r="K738">
        <v>18.23</v>
      </c>
      <c r="L738">
        <v>18.399999999999999</v>
      </c>
      <c r="M738">
        <v>5660012</v>
      </c>
      <c r="N738">
        <v>5660644</v>
      </c>
      <c r="O738">
        <v>0</v>
      </c>
      <c r="P738">
        <v>0</v>
      </c>
      <c r="Q738">
        <v>5263082</v>
      </c>
      <c r="R738">
        <v>5243235</v>
      </c>
      <c r="S738">
        <v>1573316</v>
      </c>
      <c r="T738">
        <v>1368962</v>
      </c>
      <c r="U738">
        <v>0</v>
      </c>
      <c r="V738">
        <v>0</v>
      </c>
      <c r="W738">
        <v>0</v>
      </c>
      <c r="X738">
        <v>0</v>
      </c>
      <c r="Y738">
        <v>10986067</v>
      </c>
      <c r="Z738">
        <v>10942648</v>
      </c>
      <c r="AA738">
        <f t="shared" si="23"/>
        <v>-19847</v>
      </c>
      <c r="AB738">
        <f t="shared" si="22"/>
        <v>-0.37709843775947249</v>
      </c>
    </row>
    <row r="739" spans="1:28">
      <c r="A739" t="s">
        <v>40</v>
      </c>
      <c r="B739" s="2">
        <v>45444</v>
      </c>
      <c r="C739" s="2">
        <v>45413</v>
      </c>
      <c r="D739" s="2">
        <v>45524</v>
      </c>
      <c r="E739">
        <v>80268896</v>
      </c>
      <c r="F739">
        <v>80489274</v>
      </c>
      <c r="G739">
        <v>220378</v>
      </c>
      <c r="H739">
        <v>83.4</v>
      </c>
      <c r="I739">
        <v>1060000</v>
      </c>
      <c r="J739" t="s">
        <v>29</v>
      </c>
      <c r="K739">
        <v>76.349999999999994</v>
      </c>
      <c r="L739">
        <v>77.41</v>
      </c>
      <c r="M739">
        <v>16228824</v>
      </c>
      <c r="N739">
        <v>16303993</v>
      </c>
      <c r="O739">
        <v>0</v>
      </c>
      <c r="P739">
        <v>0</v>
      </c>
      <c r="Q739">
        <v>15436309</v>
      </c>
      <c r="R739">
        <v>15365624</v>
      </c>
      <c r="S739">
        <v>4659304</v>
      </c>
      <c r="T739">
        <v>4696704</v>
      </c>
      <c r="U739">
        <v>0</v>
      </c>
      <c r="V739">
        <v>0</v>
      </c>
      <c r="W739">
        <v>0</v>
      </c>
      <c r="X739">
        <v>0</v>
      </c>
      <c r="Y739">
        <v>43944459</v>
      </c>
      <c r="Z739">
        <v>44122953</v>
      </c>
      <c r="AA739">
        <f t="shared" si="23"/>
        <v>-70685</v>
      </c>
      <c r="AB739">
        <f t="shared" si="22"/>
        <v>-0.45791387047253329</v>
      </c>
    </row>
    <row r="740" spans="1:28">
      <c r="A740" t="s">
        <v>41</v>
      </c>
      <c r="B740" s="2">
        <v>45444</v>
      </c>
      <c r="C740" s="2">
        <v>45413</v>
      </c>
      <c r="D740" s="2">
        <v>45524</v>
      </c>
      <c r="E740">
        <v>92963870</v>
      </c>
      <c r="F740">
        <v>93344399</v>
      </c>
      <c r="G740">
        <v>380529</v>
      </c>
      <c r="H740">
        <v>90.71</v>
      </c>
      <c r="I740">
        <v>900000</v>
      </c>
      <c r="J740" t="s">
        <v>29</v>
      </c>
      <c r="K740">
        <v>80.77</v>
      </c>
      <c r="L740">
        <v>81.67</v>
      </c>
      <c r="M740">
        <v>21919771</v>
      </c>
      <c r="N740">
        <v>22077455</v>
      </c>
      <c r="O740">
        <v>0</v>
      </c>
      <c r="P740">
        <v>0</v>
      </c>
      <c r="Q740">
        <v>21981186</v>
      </c>
      <c r="R740">
        <v>21905959</v>
      </c>
      <c r="S740">
        <v>5655254</v>
      </c>
      <c r="T740">
        <v>5676824</v>
      </c>
      <c r="U740">
        <v>0</v>
      </c>
      <c r="V740">
        <v>0</v>
      </c>
      <c r="W740">
        <v>0</v>
      </c>
      <c r="X740">
        <v>0</v>
      </c>
      <c r="Y740">
        <v>43407659</v>
      </c>
      <c r="Z740">
        <v>43684161</v>
      </c>
      <c r="AA740">
        <f t="shared" si="23"/>
        <v>-75227</v>
      </c>
      <c r="AB740">
        <f t="shared" si="22"/>
        <v>-0.3422335810269746</v>
      </c>
    </row>
    <row r="741" spans="1:28">
      <c r="A741" t="s">
        <v>42</v>
      </c>
      <c r="B741" s="2">
        <v>45444</v>
      </c>
      <c r="C741" s="2">
        <v>45413</v>
      </c>
      <c r="D741" s="2">
        <v>45524</v>
      </c>
      <c r="E741">
        <v>34224083</v>
      </c>
      <c r="F741">
        <v>34336027</v>
      </c>
      <c r="G741">
        <v>111944</v>
      </c>
      <c r="H741">
        <v>70.209999999999994</v>
      </c>
      <c r="I741">
        <v>230000</v>
      </c>
      <c r="J741" t="s">
        <v>29</v>
      </c>
      <c r="K741">
        <v>33.61</v>
      </c>
      <c r="L741">
        <v>33.840000000000003</v>
      </c>
      <c r="M741">
        <v>10117220</v>
      </c>
      <c r="N741">
        <v>10141827</v>
      </c>
      <c r="O741">
        <v>0</v>
      </c>
      <c r="P741">
        <v>0</v>
      </c>
      <c r="Q741">
        <v>10705134</v>
      </c>
      <c r="R741">
        <v>10715322</v>
      </c>
      <c r="S741">
        <v>0</v>
      </c>
      <c r="T741">
        <v>0</v>
      </c>
      <c r="U741">
        <v>0</v>
      </c>
      <c r="V741">
        <v>0</v>
      </c>
      <c r="W741">
        <v>233680</v>
      </c>
      <c r="X741">
        <v>230443</v>
      </c>
      <c r="Y741">
        <v>13168049</v>
      </c>
      <c r="Z741">
        <v>13248435</v>
      </c>
      <c r="AA741">
        <f t="shared" si="23"/>
        <v>10188</v>
      </c>
      <c r="AB741">
        <f t="shared" si="22"/>
        <v>9.5169289800576068E-2</v>
      </c>
    </row>
    <row r="742" spans="1:28">
      <c r="A742" t="s">
        <v>43</v>
      </c>
      <c r="B742" s="2">
        <v>45444</v>
      </c>
      <c r="C742" s="2">
        <v>45413</v>
      </c>
      <c r="D742" s="2">
        <v>45524</v>
      </c>
      <c r="E742">
        <v>12692180</v>
      </c>
      <c r="F742">
        <v>12735693</v>
      </c>
      <c r="G742">
        <v>43513</v>
      </c>
      <c r="H742">
        <v>93.67</v>
      </c>
      <c r="I742">
        <v>30000</v>
      </c>
      <c r="J742" t="s">
        <v>29</v>
      </c>
      <c r="K742">
        <v>2.2599999999999998</v>
      </c>
      <c r="L742">
        <v>2.29</v>
      </c>
      <c r="M742">
        <v>6348113</v>
      </c>
      <c r="N742">
        <v>6363875</v>
      </c>
      <c r="O742">
        <v>0</v>
      </c>
      <c r="P742">
        <v>0</v>
      </c>
      <c r="Q742">
        <v>744341</v>
      </c>
      <c r="R742">
        <v>725562</v>
      </c>
      <c r="S742">
        <v>1233208</v>
      </c>
      <c r="T742">
        <v>1228962</v>
      </c>
      <c r="U742">
        <v>0</v>
      </c>
      <c r="V742">
        <v>0</v>
      </c>
      <c r="W742">
        <v>0</v>
      </c>
      <c r="X742">
        <v>0</v>
      </c>
      <c r="Y742">
        <v>4366518</v>
      </c>
      <c r="Z742">
        <v>4417294</v>
      </c>
      <c r="AA742">
        <f t="shared" si="23"/>
        <v>-18779</v>
      </c>
      <c r="AB742">
        <f t="shared" si="22"/>
        <v>-2.5229028093306698</v>
      </c>
    </row>
    <row r="743" spans="1:28">
      <c r="A743" t="s">
        <v>44</v>
      </c>
      <c r="B743" s="2">
        <v>45444</v>
      </c>
      <c r="C743" s="2">
        <v>45413</v>
      </c>
      <c r="D743" s="2">
        <v>45524</v>
      </c>
      <c r="E743">
        <v>33874616</v>
      </c>
      <c r="F743">
        <v>34171615</v>
      </c>
      <c r="G743">
        <v>296999</v>
      </c>
      <c r="H743">
        <v>96.7</v>
      </c>
      <c r="I743">
        <v>190000</v>
      </c>
      <c r="J743" t="s">
        <v>29</v>
      </c>
      <c r="K743">
        <v>17.43</v>
      </c>
      <c r="L743">
        <v>17.62</v>
      </c>
      <c r="M743">
        <v>11631129</v>
      </c>
      <c r="N743">
        <v>11681370</v>
      </c>
      <c r="O743">
        <v>0</v>
      </c>
      <c r="P743">
        <v>0</v>
      </c>
      <c r="Q743">
        <v>1416414</v>
      </c>
      <c r="R743">
        <v>1398255</v>
      </c>
      <c r="S743">
        <v>5334229</v>
      </c>
      <c r="T743">
        <v>5326387</v>
      </c>
      <c r="U743">
        <v>0</v>
      </c>
      <c r="V743">
        <v>0</v>
      </c>
      <c r="W743">
        <v>0</v>
      </c>
      <c r="X743">
        <v>0</v>
      </c>
      <c r="Y743">
        <v>15492844</v>
      </c>
      <c r="Z743">
        <v>15765603</v>
      </c>
      <c r="AA743">
        <f t="shared" si="23"/>
        <v>-18159</v>
      </c>
      <c r="AB743">
        <f t="shared" si="22"/>
        <v>-1.2820404203855651</v>
      </c>
    </row>
    <row r="744" spans="1:28">
      <c r="A744" t="s">
        <v>45</v>
      </c>
      <c r="B744" s="2">
        <v>45444</v>
      </c>
      <c r="C744" s="2">
        <v>45413</v>
      </c>
      <c r="D744" s="2">
        <v>45524</v>
      </c>
      <c r="E744">
        <v>34991886</v>
      </c>
      <c r="F744">
        <v>34970825</v>
      </c>
      <c r="G744">
        <v>-21061</v>
      </c>
      <c r="H744">
        <v>92.14</v>
      </c>
      <c r="I744">
        <v>280000</v>
      </c>
      <c r="J744" t="s">
        <v>29</v>
      </c>
      <c r="K744">
        <v>32.979999999999997</v>
      </c>
      <c r="L744">
        <v>33.26</v>
      </c>
      <c r="M744">
        <v>12609543</v>
      </c>
      <c r="N744">
        <v>12593886</v>
      </c>
      <c r="O744">
        <v>0</v>
      </c>
      <c r="P744">
        <v>0</v>
      </c>
      <c r="Q744">
        <v>6444950</v>
      </c>
      <c r="R744">
        <v>6411404</v>
      </c>
      <c r="S744">
        <v>3720785</v>
      </c>
      <c r="T744">
        <v>3714894</v>
      </c>
      <c r="U744">
        <v>0</v>
      </c>
      <c r="V744">
        <v>0</v>
      </c>
      <c r="W744">
        <v>0</v>
      </c>
      <c r="X744">
        <v>0</v>
      </c>
      <c r="Y744">
        <v>12216608</v>
      </c>
      <c r="Z744">
        <v>12250641</v>
      </c>
      <c r="AA744">
        <f t="shared" si="23"/>
        <v>-33546</v>
      </c>
      <c r="AB744">
        <f t="shared" si="22"/>
        <v>-0.52050054693985215</v>
      </c>
    </row>
    <row r="745" spans="1:28">
      <c r="A745" t="s">
        <v>46</v>
      </c>
      <c r="B745" s="2">
        <v>45444</v>
      </c>
      <c r="C745" s="2">
        <v>45413</v>
      </c>
      <c r="D745" s="2">
        <v>45524</v>
      </c>
      <c r="E745">
        <v>66585334</v>
      </c>
      <c r="F745">
        <v>66856835</v>
      </c>
      <c r="G745">
        <v>271501</v>
      </c>
      <c r="H745">
        <v>89.08</v>
      </c>
      <c r="I745">
        <v>730000</v>
      </c>
      <c r="J745" t="s">
        <v>29</v>
      </c>
      <c r="K745">
        <v>67.42</v>
      </c>
      <c r="L745">
        <v>68.150000000000006</v>
      </c>
      <c r="M745">
        <v>23474299</v>
      </c>
      <c r="N745">
        <v>23591034</v>
      </c>
      <c r="O745">
        <v>0</v>
      </c>
      <c r="P745">
        <v>0</v>
      </c>
      <c r="Q745">
        <v>10551397</v>
      </c>
      <c r="R745">
        <v>10485204</v>
      </c>
      <c r="S745">
        <v>5521645</v>
      </c>
      <c r="T745">
        <v>5523352</v>
      </c>
      <c r="U745">
        <v>0</v>
      </c>
      <c r="V745">
        <v>0</v>
      </c>
      <c r="W745">
        <v>0</v>
      </c>
      <c r="X745">
        <v>0</v>
      </c>
      <c r="Y745">
        <v>27037993</v>
      </c>
      <c r="Z745">
        <v>27257245</v>
      </c>
      <c r="AA745">
        <f t="shared" si="23"/>
        <v>-66193</v>
      </c>
      <c r="AB745">
        <f t="shared" si="22"/>
        <v>-0.62733873059652667</v>
      </c>
    </row>
    <row r="746" spans="1:28">
      <c r="A746" t="s">
        <v>47</v>
      </c>
      <c r="B746" s="2">
        <v>45444</v>
      </c>
      <c r="C746" s="2">
        <v>45413</v>
      </c>
      <c r="D746" s="2">
        <v>45524</v>
      </c>
      <c r="E746">
        <v>78632876</v>
      </c>
      <c r="F746">
        <v>78728243</v>
      </c>
      <c r="G746">
        <v>95367</v>
      </c>
      <c r="H746">
        <v>89.7</v>
      </c>
      <c r="I746">
        <v>580000</v>
      </c>
      <c r="J746" t="s">
        <v>29</v>
      </c>
      <c r="K746">
        <v>63.1</v>
      </c>
      <c r="L746">
        <v>63.68</v>
      </c>
      <c r="M746">
        <v>29681291</v>
      </c>
      <c r="N746">
        <v>29845231</v>
      </c>
      <c r="O746">
        <v>0</v>
      </c>
      <c r="P746">
        <v>0</v>
      </c>
      <c r="Q746">
        <v>15495199</v>
      </c>
      <c r="R746">
        <v>15450255</v>
      </c>
      <c r="S746">
        <v>7419439</v>
      </c>
      <c r="T746">
        <v>7323605</v>
      </c>
      <c r="U746">
        <v>167635</v>
      </c>
      <c r="V746">
        <v>188010</v>
      </c>
      <c r="W746">
        <v>0</v>
      </c>
      <c r="X746">
        <v>0</v>
      </c>
      <c r="Y746">
        <v>25869312</v>
      </c>
      <c r="Z746">
        <v>25921142</v>
      </c>
      <c r="AA746">
        <f t="shared" si="23"/>
        <v>-44944</v>
      </c>
      <c r="AB746">
        <f t="shared" si="22"/>
        <v>-0.29005113132138544</v>
      </c>
    </row>
    <row r="747" spans="1:28">
      <c r="A747" t="s">
        <v>48</v>
      </c>
      <c r="B747" s="2">
        <v>45444</v>
      </c>
      <c r="C747" s="2">
        <v>45413</v>
      </c>
      <c r="D747" s="2">
        <v>45524</v>
      </c>
      <c r="E747">
        <v>102710656</v>
      </c>
      <c r="F747">
        <v>102831840</v>
      </c>
      <c r="G747">
        <v>121184</v>
      </c>
      <c r="H747">
        <v>89.36</v>
      </c>
      <c r="I747">
        <v>1550000</v>
      </c>
      <c r="J747" t="s">
        <v>29</v>
      </c>
      <c r="K747">
        <v>93.42</v>
      </c>
      <c r="L747">
        <v>94.97</v>
      </c>
      <c r="M747">
        <v>37426815</v>
      </c>
      <c r="N747">
        <v>37400385</v>
      </c>
      <c r="O747">
        <v>0</v>
      </c>
      <c r="P747">
        <v>0</v>
      </c>
      <c r="Q747">
        <v>17245091</v>
      </c>
      <c r="R747">
        <v>17104862</v>
      </c>
      <c r="S747">
        <v>7475025</v>
      </c>
      <c r="T747">
        <v>7473038</v>
      </c>
      <c r="U747">
        <v>0</v>
      </c>
      <c r="V747">
        <v>0</v>
      </c>
      <c r="W747">
        <v>0</v>
      </c>
      <c r="X747">
        <v>0</v>
      </c>
      <c r="Y747">
        <v>40563725</v>
      </c>
      <c r="Z747">
        <v>40853555</v>
      </c>
      <c r="AA747">
        <f t="shared" si="23"/>
        <v>-140229</v>
      </c>
      <c r="AB747">
        <f t="shared" si="22"/>
        <v>-0.81315314601703181</v>
      </c>
    </row>
    <row r="748" spans="1:28">
      <c r="A748" t="s">
        <v>49</v>
      </c>
      <c r="B748" s="2">
        <v>45444</v>
      </c>
      <c r="C748" s="2">
        <v>45413</v>
      </c>
      <c r="D748" s="2">
        <v>45524</v>
      </c>
      <c r="E748">
        <v>63936775</v>
      </c>
      <c r="F748">
        <v>63842354</v>
      </c>
      <c r="G748">
        <v>-94421</v>
      </c>
      <c r="H748">
        <v>95.16</v>
      </c>
      <c r="I748">
        <v>1140000</v>
      </c>
      <c r="J748" t="s">
        <v>29</v>
      </c>
      <c r="K748">
        <v>70.98</v>
      </c>
      <c r="L748">
        <v>72.12</v>
      </c>
      <c r="M748">
        <v>18962036</v>
      </c>
      <c r="N748">
        <v>19004620</v>
      </c>
      <c r="O748">
        <v>0</v>
      </c>
      <c r="P748">
        <v>0</v>
      </c>
      <c r="Q748">
        <v>15510494</v>
      </c>
      <c r="R748">
        <v>15399180</v>
      </c>
      <c r="S748">
        <v>4890092</v>
      </c>
      <c r="T748">
        <v>4747091</v>
      </c>
      <c r="U748">
        <v>0</v>
      </c>
      <c r="V748">
        <v>0</v>
      </c>
      <c r="W748">
        <v>0</v>
      </c>
      <c r="X748">
        <v>0</v>
      </c>
      <c r="Y748">
        <v>24574153</v>
      </c>
      <c r="Z748">
        <v>24691463</v>
      </c>
      <c r="AA748">
        <f t="shared" si="23"/>
        <v>-111314</v>
      </c>
      <c r="AB748">
        <f t="shared" si="22"/>
        <v>-0.71766895367742634</v>
      </c>
    </row>
    <row r="749" spans="1:28">
      <c r="A749" t="s">
        <v>50</v>
      </c>
      <c r="B749" s="2">
        <v>45444</v>
      </c>
      <c r="C749" s="2">
        <v>45413</v>
      </c>
      <c r="D749" s="2">
        <v>45524</v>
      </c>
      <c r="E749">
        <v>58131835</v>
      </c>
      <c r="F749">
        <v>58138530</v>
      </c>
      <c r="G749">
        <v>6695</v>
      </c>
      <c r="H749">
        <v>91.78</v>
      </c>
      <c r="I749">
        <v>920000</v>
      </c>
      <c r="J749" t="s">
        <v>29</v>
      </c>
      <c r="K749">
        <v>56.74</v>
      </c>
      <c r="L749">
        <v>57.66</v>
      </c>
      <c r="M749">
        <v>18275872</v>
      </c>
      <c r="N749">
        <v>18400179</v>
      </c>
      <c r="O749">
        <v>0</v>
      </c>
      <c r="P749">
        <v>0</v>
      </c>
      <c r="Q749">
        <v>12977375</v>
      </c>
      <c r="R749">
        <v>12925151</v>
      </c>
      <c r="S749">
        <v>2331371</v>
      </c>
      <c r="T749">
        <v>2310124</v>
      </c>
      <c r="U749">
        <v>0</v>
      </c>
      <c r="V749">
        <v>0</v>
      </c>
      <c r="W749">
        <v>0</v>
      </c>
      <c r="X749">
        <v>0</v>
      </c>
      <c r="Y749">
        <v>24547217</v>
      </c>
      <c r="Z749">
        <v>24503076</v>
      </c>
      <c r="AA749">
        <f t="shared" si="23"/>
        <v>-52224</v>
      </c>
      <c r="AB749">
        <f t="shared" si="22"/>
        <v>-0.40242344850171935</v>
      </c>
    </row>
    <row r="750" spans="1:28">
      <c r="A750" t="s">
        <v>28</v>
      </c>
      <c r="B750" s="2">
        <v>45474</v>
      </c>
      <c r="C750" s="2">
        <v>45444</v>
      </c>
      <c r="D750" s="2">
        <v>45555</v>
      </c>
      <c r="E750">
        <v>84147834</v>
      </c>
      <c r="F750">
        <v>84137057</v>
      </c>
      <c r="G750">
        <v>-10777</v>
      </c>
      <c r="H750">
        <v>89.88</v>
      </c>
      <c r="I750">
        <v>740000</v>
      </c>
      <c r="J750" t="s">
        <v>29</v>
      </c>
      <c r="K750">
        <v>66.650000000000006</v>
      </c>
      <c r="L750">
        <v>67.39</v>
      </c>
      <c r="M750">
        <v>34108778</v>
      </c>
      <c r="N750">
        <v>33989599</v>
      </c>
      <c r="O750">
        <v>0</v>
      </c>
      <c r="P750">
        <v>0</v>
      </c>
      <c r="Q750">
        <v>10689294</v>
      </c>
      <c r="R750">
        <v>10590428</v>
      </c>
      <c r="S750">
        <v>6279421</v>
      </c>
      <c r="T750">
        <v>6578913</v>
      </c>
      <c r="U750">
        <v>0</v>
      </c>
      <c r="V750">
        <v>0</v>
      </c>
      <c r="W750">
        <v>0</v>
      </c>
      <c r="X750">
        <v>0</v>
      </c>
      <c r="Y750">
        <v>33070341</v>
      </c>
      <c r="Z750">
        <v>32978117</v>
      </c>
      <c r="AA750">
        <f t="shared" si="23"/>
        <v>-98866</v>
      </c>
      <c r="AB750">
        <f t="shared" si="22"/>
        <v>-0.92490673378428923</v>
      </c>
    </row>
    <row r="751" spans="1:28">
      <c r="A751" t="s">
        <v>30</v>
      </c>
      <c r="B751" s="2">
        <v>45474</v>
      </c>
      <c r="C751" s="2">
        <v>45444</v>
      </c>
      <c r="D751" s="2">
        <v>45555</v>
      </c>
      <c r="E751">
        <v>26498936</v>
      </c>
      <c r="F751">
        <v>26516457</v>
      </c>
      <c r="G751">
        <v>17521</v>
      </c>
      <c r="H751">
        <v>91.34</v>
      </c>
      <c r="I751">
        <v>130000</v>
      </c>
      <c r="J751" t="s">
        <v>29</v>
      </c>
      <c r="K751">
        <v>7.22</v>
      </c>
      <c r="L751">
        <v>7.35</v>
      </c>
      <c r="M751">
        <v>11966802</v>
      </c>
      <c r="N751">
        <v>11970108</v>
      </c>
      <c r="O751">
        <v>0</v>
      </c>
      <c r="P751">
        <v>0</v>
      </c>
      <c r="Q751">
        <v>1523045</v>
      </c>
      <c r="R751">
        <v>1510887</v>
      </c>
      <c r="S751">
        <v>2976580</v>
      </c>
      <c r="T751">
        <v>3033387</v>
      </c>
      <c r="U751">
        <v>0</v>
      </c>
      <c r="V751">
        <v>0</v>
      </c>
      <c r="W751">
        <v>0</v>
      </c>
      <c r="X751">
        <v>0</v>
      </c>
      <c r="Y751">
        <v>10032509</v>
      </c>
      <c r="Z751">
        <v>10002075</v>
      </c>
      <c r="AA751">
        <f t="shared" si="23"/>
        <v>-12158</v>
      </c>
      <c r="AB751">
        <f t="shared" si="22"/>
        <v>-0.79826925665361159</v>
      </c>
    </row>
    <row r="752" spans="1:28">
      <c r="A752" t="s">
        <v>31</v>
      </c>
      <c r="B752" s="2">
        <v>45474</v>
      </c>
      <c r="C752" s="2">
        <v>45444</v>
      </c>
      <c r="D752" s="2">
        <v>45555</v>
      </c>
      <c r="E752">
        <v>96157631</v>
      </c>
      <c r="F752">
        <v>96055444</v>
      </c>
      <c r="G752">
        <v>-102187</v>
      </c>
      <c r="H752">
        <v>86.33</v>
      </c>
      <c r="I752">
        <v>1000000</v>
      </c>
      <c r="J752" t="s">
        <v>29</v>
      </c>
      <c r="K752">
        <v>55.75</v>
      </c>
      <c r="L752">
        <v>56.75</v>
      </c>
      <c r="M752">
        <v>41485026</v>
      </c>
      <c r="N752">
        <v>41089037</v>
      </c>
      <c r="O752">
        <v>0</v>
      </c>
      <c r="P752">
        <v>0</v>
      </c>
      <c r="Q752">
        <v>7651158</v>
      </c>
      <c r="R752">
        <v>7591934</v>
      </c>
      <c r="S752">
        <v>5201342</v>
      </c>
      <c r="T752">
        <v>5561593</v>
      </c>
      <c r="U752">
        <v>0</v>
      </c>
      <c r="V752">
        <v>0</v>
      </c>
      <c r="W752">
        <v>0</v>
      </c>
      <c r="X752">
        <v>0</v>
      </c>
      <c r="Y752">
        <v>41820105</v>
      </c>
      <c r="Z752">
        <v>41812880</v>
      </c>
      <c r="AA752">
        <f t="shared" si="23"/>
        <v>-59224</v>
      </c>
      <c r="AB752">
        <f t="shared" si="22"/>
        <v>-0.77405276430051506</v>
      </c>
    </row>
    <row r="753" spans="1:28">
      <c r="A753" t="s">
        <v>32</v>
      </c>
      <c r="B753" s="2">
        <v>45474</v>
      </c>
      <c r="C753" s="2">
        <v>45444</v>
      </c>
      <c r="D753" s="2">
        <v>45555</v>
      </c>
      <c r="E753">
        <v>57049532</v>
      </c>
      <c r="F753">
        <v>57104030</v>
      </c>
      <c r="G753">
        <v>54498</v>
      </c>
      <c r="H753">
        <v>55.61</v>
      </c>
      <c r="I753">
        <v>580000</v>
      </c>
      <c r="J753" t="s">
        <v>29</v>
      </c>
      <c r="K753">
        <v>47.92</v>
      </c>
      <c r="L753">
        <v>48.5</v>
      </c>
      <c r="M753">
        <v>18306388</v>
      </c>
      <c r="N753">
        <v>18301168</v>
      </c>
      <c r="O753">
        <v>0</v>
      </c>
      <c r="P753">
        <v>0</v>
      </c>
      <c r="Q753">
        <v>16594301</v>
      </c>
      <c r="R753">
        <v>16743602</v>
      </c>
      <c r="S753">
        <v>0</v>
      </c>
      <c r="T753">
        <v>0</v>
      </c>
      <c r="U753">
        <v>0</v>
      </c>
      <c r="V753">
        <v>0</v>
      </c>
      <c r="W753">
        <v>1684323</v>
      </c>
      <c r="X753">
        <v>1684191</v>
      </c>
      <c r="Y753">
        <v>20464520</v>
      </c>
      <c r="Z753">
        <v>20375069</v>
      </c>
      <c r="AA753">
        <f t="shared" si="23"/>
        <v>149301</v>
      </c>
      <c r="AB753">
        <f t="shared" si="22"/>
        <v>0.8997124976821862</v>
      </c>
    </row>
    <row r="754" spans="1:28">
      <c r="A754" t="s">
        <v>33</v>
      </c>
      <c r="B754" s="2">
        <v>45474</v>
      </c>
      <c r="C754" s="2">
        <v>45444</v>
      </c>
      <c r="D754" s="2">
        <v>45555</v>
      </c>
      <c r="E754">
        <v>65665046</v>
      </c>
      <c r="F754">
        <v>65712884</v>
      </c>
      <c r="G754">
        <v>47838</v>
      </c>
      <c r="H754">
        <v>91.57</v>
      </c>
      <c r="I754">
        <v>850000</v>
      </c>
      <c r="J754" t="s">
        <v>29</v>
      </c>
      <c r="K754">
        <v>67.959999999999994</v>
      </c>
      <c r="L754">
        <v>68.81</v>
      </c>
      <c r="M754">
        <v>11944421</v>
      </c>
      <c r="N754">
        <v>11916953</v>
      </c>
      <c r="O754">
        <v>0</v>
      </c>
      <c r="P754">
        <v>0</v>
      </c>
      <c r="Q754">
        <v>20379486</v>
      </c>
      <c r="R754">
        <v>20319894</v>
      </c>
      <c r="S754">
        <v>2679193</v>
      </c>
      <c r="T754">
        <v>2899535</v>
      </c>
      <c r="U754">
        <v>0</v>
      </c>
      <c r="V754">
        <v>0</v>
      </c>
      <c r="W754">
        <v>0</v>
      </c>
      <c r="X754">
        <v>0</v>
      </c>
      <c r="Y754">
        <v>30661946</v>
      </c>
      <c r="Z754">
        <v>30576502</v>
      </c>
      <c r="AA754">
        <f t="shared" si="23"/>
        <v>-59592</v>
      </c>
      <c r="AB754">
        <f t="shared" si="22"/>
        <v>-0.2924116928169827</v>
      </c>
    </row>
    <row r="755" spans="1:28">
      <c r="A755" t="s">
        <v>34</v>
      </c>
      <c r="B755" s="2">
        <v>45474</v>
      </c>
      <c r="C755" s="2">
        <v>45444</v>
      </c>
      <c r="D755" s="2">
        <v>45555</v>
      </c>
      <c r="E755">
        <v>26593414</v>
      </c>
      <c r="F755">
        <v>26586776</v>
      </c>
      <c r="G755">
        <v>-6638</v>
      </c>
      <c r="H755">
        <v>90.88</v>
      </c>
      <c r="I755">
        <v>420000</v>
      </c>
      <c r="J755" t="s">
        <v>29</v>
      </c>
      <c r="K755">
        <v>31.56</v>
      </c>
      <c r="L755">
        <v>31.98</v>
      </c>
      <c r="M755">
        <v>7091863</v>
      </c>
      <c r="N755">
        <v>7092103</v>
      </c>
      <c r="O755">
        <v>0</v>
      </c>
      <c r="P755">
        <v>0</v>
      </c>
      <c r="Q755">
        <v>6717606</v>
      </c>
      <c r="R755">
        <v>6684372</v>
      </c>
      <c r="S755">
        <v>4055837</v>
      </c>
      <c r="T755">
        <v>4081920</v>
      </c>
      <c r="U755">
        <v>0</v>
      </c>
      <c r="V755">
        <v>0</v>
      </c>
      <c r="W755">
        <v>0</v>
      </c>
      <c r="X755">
        <v>0</v>
      </c>
      <c r="Y755">
        <v>8728108</v>
      </c>
      <c r="Z755">
        <v>8728381</v>
      </c>
      <c r="AA755">
        <f t="shared" si="23"/>
        <v>-33234</v>
      </c>
      <c r="AB755">
        <f t="shared" si="22"/>
        <v>-0.49472981892656398</v>
      </c>
    </row>
    <row r="756" spans="1:28">
      <c r="A756" t="s">
        <v>35</v>
      </c>
      <c r="B756" s="2">
        <v>45474</v>
      </c>
      <c r="C756" s="2">
        <v>45444</v>
      </c>
      <c r="D756" s="2">
        <v>45555</v>
      </c>
      <c r="E756">
        <v>8828173</v>
      </c>
      <c r="F756">
        <v>8875174</v>
      </c>
      <c r="G756">
        <v>47001</v>
      </c>
      <c r="H756">
        <v>103.58</v>
      </c>
      <c r="I756">
        <v>60000</v>
      </c>
      <c r="J756" t="s">
        <v>29</v>
      </c>
      <c r="K756">
        <v>4.25</v>
      </c>
      <c r="L756">
        <v>4.3099999999999996</v>
      </c>
      <c r="M756">
        <v>3595981</v>
      </c>
      <c r="N756">
        <v>3592169</v>
      </c>
      <c r="O756">
        <v>0</v>
      </c>
      <c r="P756">
        <v>0</v>
      </c>
      <c r="Q756">
        <v>392830</v>
      </c>
      <c r="R756">
        <v>388302</v>
      </c>
      <c r="S756">
        <v>1513110</v>
      </c>
      <c r="T756">
        <v>1568692</v>
      </c>
      <c r="U756">
        <v>0</v>
      </c>
      <c r="V756">
        <v>0</v>
      </c>
      <c r="W756">
        <v>0</v>
      </c>
      <c r="X756">
        <v>0</v>
      </c>
      <c r="Y756">
        <v>3326252</v>
      </c>
      <c r="Z756">
        <v>3326011</v>
      </c>
      <c r="AA756">
        <f t="shared" si="23"/>
        <v>-4528</v>
      </c>
      <c r="AB756">
        <f t="shared" si="22"/>
        <v>-1.1526614566097293</v>
      </c>
    </row>
    <row r="757" spans="1:28">
      <c r="A757" t="s">
        <v>36</v>
      </c>
      <c r="B757" s="2">
        <v>45474</v>
      </c>
      <c r="C757" s="2">
        <v>45444</v>
      </c>
      <c r="D757" s="2">
        <v>45555</v>
      </c>
      <c r="E757">
        <v>12415260</v>
      </c>
      <c r="F757">
        <v>12544711</v>
      </c>
      <c r="G757">
        <v>129451</v>
      </c>
      <c r="H757">
        <v>85.11</v>
      </c>
      <c r="I757">
        <v>70000</v>
      </c>
      <c r="J757" t="s">
        <v>29</v>
      </c>
      <c r="K757">
        <v>2.64</v>
      </c>
      <c r="L757">
        <v>2.71</v>
      </c>
      <c r="M757">
        <v>6179394</v>
      </c>
      <c r="N757">
        <v>6171783</v>
      </c>
      <c r="O757">
        <v>0</v>
      </c>
      <c r="P757">
        <v>0</v>
      </c>
      <c r="Q757">
        <v>286760</v>
      </c>
      <c r="R757">
        <v>280195</v>
      </c>
      <c r="S757">
        <v>778473</v>
      </c>
      <c r="T757">
        <v>839986</v>
      </c>
      <c r="U757">
        <v>0</v>
      </c>
      <c r="V757">
        <v>0</v>
      </c>
      <c r="W757">
        <v>0</v>
      </c>
      <c r="X757">
        <v>0</v>
      </c>
      <c r="Y757">
        <v>5170633</v>
      </c>
      <c r="Z757">
        <v>5252747</v>
      </c>
      <c r="AA757">
        <f t="shared" si="23"/>
        <v>-6565</v>
      </c>
      <c r="AB757">
        <f t="shared" si="22"/>
        <v>-2.2893709024968616</v>
      </c>
    </row>
    <row r="758" spans="1:28">
      <c r="A758" t="s">
        <v>37</v>
      </c>
      <c r="B758" s="2">
        <v>45474</v>
      </c>
      <c r="C758" s="2">
        <v>45444</v>
      </c>
      <c r="D758" s="2">
        <v>45555</v>
      </c>
      <c r="E758">
        <v>67506029</v>
      </c>
      <c r="F758">
        <v>67605962</v>
      </c>
      <c r="G758">
        <v>99933</v>
      </c>
      <c r="H758">
        <v>80.11</v>
      </c>
      <c r="I758">
        <v>640000</v>
      </c>
      <c r="J758" t="s">
        <v>29</v>
      </c>
      <c r="K758">
        <v>68.36</v>
      </c>
      <c r="L758">
        <v>69</v>
      </c>
      <c r="M758">
        <v>32470623</v>
      </c>
      <c r="N758">
        <v>32362339</v>
      </c>
      <c r="O758">
        <v>0</v>
      </c>
      <c r="P758">
        <v>0</v>
      </c>
      <c r="Q758">
        <v>6468809</v>
      </c>
      <c r="R758">
        <v>6398322</v>
      </c>
      <c r="S758">
        <v>4120157</v>
      </c>
      <c r="T758">
        <v>4300925</v>
      </c>
      <c r="U758">
        <v>0</v>
      </c>
      <c r="V758">
        <v>0</v>
      </c>
      <c r="W758">
        <v>0</v>
      </c>
      <c r="X758">
        <v>0</v>
      </c>
      <c r="Y758">
        <v>24446440</v>
      </c>
      <c r="Z758">
        <v>24544376</v>
      </c>
      <c r="AA758">
        <f t="shared" si="23"/>
        <v>-70487</v>
      </c>
      <c r="AB758">
        <f t="shared" si="22"/>
        <v>-1.089644167883145</v>
      </c>
    </row>
    <row r="759" spans="1:28">
      <c r="A759" t="s">
        <v>38</v>
      </c>
      <c r="B759" s="2">
        <v>45474</v>
      </c>
      <c r="C759" s="2">
        <v>45444</v>
      </c>
      <c r="D759" s="2">
        <v>45555</v>
      </c>
      <c r="E759">
        <v>42005328</v>
      </c>
      <c r="F759">
        <v>41860933</v>
      </c>
      <c r="G759">
        <v>-144395</v>
      </c>
      <c r="H759">
        <v>93.77</v>
      </c>
      <c r="I759">
        <v>250000</v>
      </c>
      <c r="J759" t="s">
        <v>29</v>
      </c>
      <c r="K759">
        <v>24.07</v>
      </c>
      <c r="L759">
        <v>24.32</v>
      </c>
      <c r="M759">
        <v>8806722</v>
      </c>
      <c r="N759">
        <v>8779707</v>
      </c>
      <c r="O759">
        <v>0</v>
      </c>
      <c r="P759">
        <v>0</v>
      </c>
      <c r="Q759">
        <v>13463485</v>
      </c>
      <c r="R759">
        <v>13371728</v>
      </c>
      <c r="S759">
        <v>8586971</v>
      </c>
      <c r="T759">
        <v>8605862</v>
      </c>
      <c r="U759">
        <v>0</v>
      </c>
      <c r="V759">
        <v>0</v>
      </c>
      <c r="W759">
        <v>0</v>
      </c>
      <c r="X759">
        <v>0</v>
      </c>
      <c r="Y759">
        <v>11148150</v>
      </c>
      <c r="Z759">
        <v>11103636</v>
      </c>
      <c r="AA759">
        <f t="shared" si="23"/>
        <v>-91757</v>
      </c>
      <c r="AB759">
        <f t="shared" si="22"/>
        <v>-0.68152488007376988</v>
      </c>
    </row>
    <row r="760" spans="1:28">
      <c r="A760" t="s">
        <v>39</v>
      </c>
      <c r="B760" s="2">
        <v>45474</v>
      </c>
      <c r="C760" s="2">
        <v>45444</v>
      </c>
      <c r="D760" s="2">
        <v>45555</v>
      </c>
      <c r="E760">
        <v>23215489</v>
      </c>
      <c r="F760">
        <v>23263628</v>
      </c>
      <c r="G760">
        <v>48139</v>
      </c>
      <c r="H760">
        <v>88.18</v>
      </c>
      <c r="I760">
        <v>230000</v>
      </c>
      <c r="J760" t="s">
        <v>29</v>
      </c>
      <c r="K760">
        <v>18.399999999999999</v>
      </c>
      <c r="L760">
        <v>18.63</v>
      </c>
      <c r="M760">
        <v>5660644</v>
      </c>
      <c r="N760">
        <v>5604615</v>
      </c>
      <c r="O760">
        <v>0</v>
      </c>
      <c r="P760">
        <v>0</v>
      </c>
      <c r="Q760">
        <v>5243235</v>
      </c>
      <c r="R760">
        <v>5214201</v>
      </c>
      <c r="S760">
        <v>1368962</v>
      </c>
      <c r="T760">
        <v>1525975</v>
      </c>
      <c r="U760">
        <v>0</v>
      </c>
      <c r="V760">
        <v>0</v>
      </c>
      <c r="W760">
        <v>0</v>
      </c>
      <c r="X760">
        <v>0</v>
      </c>
      <c r="Y760">
        <v>10942648</v>
      </c>
      <c r="Z760">
        <v>10918837</v>
      </c>
      <c r="AA760">
        <f t="shared" si="23"/>
        <v>-29034</v>
      </c>
      <c r="AB760">
        <f t="shared" si="22"/>
        <v>-0.55374210768733423</v>
      </c>
    </row>
    <row r="761" spans="1:28">
      <c r="A761" t="s">
        <v>40</v>
      </c>
      <c r="B761" s="2">
        <v>45474</v>
      </c>
      <c r="C761" s="2">
        <v>45444</v>
      </c>
      <c r="D761" s="2">
        <v>45555</v>
      </c>
      <c r="E761">
        <v>80489274</v>
      </c>
      <c r="F761">
        <v>80666042</v>
      </c>
      <c r="G761">
        <v>176768</v>
      </c>
      <c r="H761">
        <v>83.19</v>
      </c>
      <c r="I761">
        <v>1170000</v>
      </c>
      <c r="J761" t="s">
        <v>29</v>
      </c>
      <c r="K761">
        <v>77.41</v>
      </c>
      <c r="L761">
        <v>78.58</v>
      </c>
      <c r="M761">
        <v>16303993</v>
      </c>
      <c r="N761">
        <v>16241312</v>
      </c>
      <c r="O761">
        <v>0</v>
      </c>
      <c r="P761">
        <v>0</v>
      </c>
      <c r="Q761">
        <v>15365624</v>
      </c>
      <c r="R761">
        <v>15250808</v>
      </c>
      <c r="S761">
        <v>4696704</v>
      </c>
      <c r="T761">
        <v>4875012</v>
      </c>
      <c r="U761">
        <v>0</v>
      </c>
      <c r="V761">
        <v>0</v>
      </c>
      <c r="W761">
        <v>0</v>
      </c>
      <c r="X761">
        <v>0</v>
      </c>
      <c r="Y761">
        <v>44122953</v>
      </c>
      <c r="Z761">
        <v>44298910</v>
      </c>
      <c r="AA761">
        <f t="shared" si="23"/>
        <v>-114816</v>
      </c>
      <c r="AB761">
        <f t="shared" si="22"/>
        <v>-0.74722640616482616</v>
      </c>
    </row>
    <row r="762" spans="1:28">
      <c r="A762" t="s">
        <v>41</v>
      </c>
      <c r="B762" s="2">
        <v>45474</v>
      </c>
      <c r="C762" s="2">
        <v>45444</v>
      </c>
      <c r="D762" s="2">
        <v>45555</v>
      </c>
      <c r="E762">
        <v>93344399</v>
      </c>
      <c r="F762">
        <v>92777598</v>
      </c>
      <c r="G762">
        <v>-566801</v>
      </c>
      <c r="H762">
        <v>90.43</v>
      </c>
      <c r="I762">
        <v>1090000</v>
      </c>
      <c r="J762" t="s">
        <v>29</v>
      </c>
      <c r="K762">
        <v>81.67</v>
      </c>
      <c r="L762">
        <v>82.76</v>
      </c>
      <c r="M762">
        <v>22077455</v>
      </c>
      <c r="N762">
        <v>22144837</v>
      </c>
      <c r="O762">
        <v>0</v>
      </c>
      <c r="P762">
        <v>0</v>
      </c>
      <c r="Q762">
        <v>21905959</v>
      </c>
      <c r="R762">
        <v>21727203</v>
      </c>
      <c r="S762">
        <v>5676824</v>
      </c>
      <c r="T762">
        <v>5586235</v>
      </c>
      <c r="U762">
        <v>0</v>
      </c>
      <c r="V762">
        <v>0</v>
      </c>
      <c r="W762">
        <v>0</v>
      </c>
      <c r="X762">
        <v>0</v>
      </c>
      <c r="Y762">
        <v>43684161</v>
      </c>
      <c r="Z762">
        <v>43319323</v>
      </c>
      <c r="AA762">
        <f t="shared" si="23"/>
        <v>-178756</v>
      </c>
      <c r="AB762">
        <f t="shared" si="22"/>
        <v>-0.81601540475812995</v>
      </c>
    </row>
    <row r="763" spans="1:28">
      <c r="A763" t="s">
        <v>42</v>
      </c>
      <c r="B763" s="2">
        <v>45474</v>
      </c>
      <c r="C763" s="2">
        <v>45444</v>
      </c>
      <c r="D763" s="2">
        <v>45555</v>
      </c>
      <c r="E763">
        <v>34336027</v>
      </c>
      <c r="F763">
        <v>34209502</v>
      </c>
      <c r="G763">
        <v>-126525</v>
      </c>
      <c r="H763">
        <v>71.33</v>
      </c>
      <c r="I763">
        <v>240000</v>
      </c>
      <c r="J763" t="s">
        <v>29</v>
      </c>
      <c r="K763">
        <v>33.840000000000003</v>
      </c>
      <c r="L763">
        <v>34.08</v>
      </c>
      <c r="M763">
        <v>10141827</v>
      </c>
      <c r="N763">
        <v>10121680</v>
      </c>
      <c r="O763">
        <v>0</v>
      </c>
      <c r="P763">
        <v>0</v>
      </c>
      <c r="Q763">
        <v>10715322</v>
      </c>
      <c r="R763">
        <v>10709628</v>
      </c>
      <c r="S763">
        <v>0</v>
      </c>
      <c r="T763">
        <v>0</v>
      </c>
      <c r="U763">
        <v>0</v>
      </c>
      <c r="V763">
        <v>0</v>
      </c>
      <c r="W763">
        <v>230443</v>
      </c>
      <c r="X763">
        <v>227566</v>
      </c>
      <c r="Y763">
        <v>13248435</v>
      </c>
      <c r="Z763">
        <v>13150628</v>
      </c>
      <c r="AA763">
        <f t="shared" si="23"/>
        <v>-5694</v>
      </c>
      <c r="AB763">
        <f t="shared" si="22"/>
        <v>-5.3138860409421201E-2</v>
      </c>
    </row>
    <row r="764" spans="1:28">
      <c r="A764" t="s">
        <v>43</v>
      </c>
      <c r="B764" s="2">
        <v>45474</v>
      </c>
      <c r="C764" s="2">
        <v>45444</v>
      </c>
      <c r="D764" s="2">
        <v>45555</v>
      </c>
      <c r="E764">
        <v>12735693</v>
      </c>
      <c r="F764">
        <v>12649227</v>
      </c>
      <c r="G764">
        <v>-86466</v>
      </c>
      <c r="H764">
        <v>93.19</v>
      </c>
      <c r="I764">
        <v>50000</v>
      </c>
      <c r="J764" t="s">
        <v>29</v>
      </c>
      <c r="K764">
        <v>2.29</v>
      </c>
      <c r="L764">
        <v>2.34</v>
      </c>
      <c r="M764">
        <v>6363875</v>
      </c>
      <c r="N764">
        <v>6313850</v>
      </c>
      <c r="O764">
        <v>0</v>
      </c>
      <c r="P764">
        <v>0</v>
      </c>
      <c r="Q764">
        <v>725562</v>
      </c>
      <c r="R764">
        <v>710298</v>
      </c>
      <c r="S764">
        <v>1228962</v>
      </c>
      <c r="T764">
        <v>1245260</v>
      </c>
      <c r="U764">
        <v>0</v>
      </c>
      <c r="V764">
        <v>0</v>
      </c>
      <c r="W764">
        <v>0</v>
      </c>
      <c r="X764">
        <v>0</v>
      </c>
      <c r="Y764">
        <v>4417294</v>
      </c>
      <c r="Z764">
        <v>4379819</v>
      </c>
      <c r="AA764">
        <f t="shared" si="23"/>
        <v>-15264</v>
      </c>
      <c r="AB764">
        <f t="shared" si="22"/>
        <v>-2.1037485425091171</v>
      </c>
    </row>
    <row r="765" spans="1:28">
      <c r="A765" t="s">
        <v>44</v>
      </c>
      <c r="B765" s="2">
        <v>45474</v>
      </c>
      <c r="C765" s="2">
        <v>45444</v>
      </c>
      <c r="D765" s="2">
        <v>45555</v>
      </c>
      <c r="E765">
        <v>34171615</v>
      </c>
      <c r="F765">
        <v>34377551</v>
      </c>
      <c r="G765">
        <v>205936</v>
      </c>
      <c r="H765">
        <v>96.72</v>
      </c>
      <c r="I765">
        <v>200000</v>
      </c>
      <c r="J765" t="s">
        <v>29</v>
      </c>
      <c r="K765">
        <v>17.62</v>
      </c>
      <c r="L765">
        <v>17.82</v>
      </c>
      <c r="M765">
        <v>11681370</v>
      </c>
      <c r="N765">
        <v>11637636</v>
      </c>
      <c r="O765">
        <v>0</v>
      </c>
      <c r="P765">
        <v>0</v>
      </c>
      <c r="Q765">
        <v>1398255</v>
      </c>
      <c r="R765">
        <v>1397177</v>
      </c>
      <c r="S765">
        <v>5326387</v>
      </c>
      <c r="T765">
        <v>5392482</v>
      </c>
      <c r="U765">
        <v>0</v>
      </c>
      <c r="V765">
        <v>0</v>
      </c>
      <c r="W765">
        <v>0</v>
      </c>
      <c r="X765">
        <v>0</v>
      </c>
      <c r="Y765">
        <v>15765603</v>
      </c>
      <c r="Z765">
        <v>15950256</v>
      </c>
      <c r="AA765">
        <f t="shared" si="23"/>
        <v>-1078</v>
      </c>
      <c r="AB765">
        <f t="shared" si="22"/>
        <v>-7.7096094775273474E-2</v>
      </c>
    </row>
    <row r="766" spans="1:28">
      <c r="A766" t="s">
        <v>45</v>
      </c>
      <c r="B766" s="2">
        <v>45474</v>
      </c>
      <c r="C766" s="2">
        <v>45444</v>
      </c>
      <c r="D766" s="2">
        <v>45555</v>
      </c>
      <c r="E766">
        <v>34970825</v>
      </c>
      <c r="F766">
        <v>34918426</v>
      </c>
      <c r="G766">
        <v>-52399</v>
      </c>
      <c r="H766">
        <v>92.64</v>
      </c>
      <c r="I766">
        <v>370000</v>
      </c>
      <c r="J766" t="s">
        <v>29</v>
      </c>
      <c r="K766">
        <v>33.26</v>
      </c>
      <c r="L766">
        <v>33.630000000000003</v>
      </c>
      <c r="M766">
        <v>12593886</v>
      </c>
      <c r="N766">
        <v>12515326</v>
      </c>
      <c r="O766">
        <v>0</v>
      </c>
      <c r="P766">
        <v>0</v>
      </c>
      <c r="Q766">
        <v>6411404</v>
      </c>
      <c r="R766">
        <v>6360326</v>
      </c>
      <c r="S766">
        <v>3714894</v>
      </c>
      <c r="T766">
        <v>3908114</v>
      </c>
      <c r="U766">
        <v>0</v>
      </c>
      <c r="V766">
        <v>0</v>
      </c>
      <c r="W766">
        <v>0</v>
      </c>
      <c r="X766">
        <v>0</v>
      </c>
      <c r="Y766">
        <v>12250641</v>
      </c>
      <c r="Z766">
        <v>12134660</v>
      </c>
      <c r="AA766">
        <f t="shared" si="23"/>
        <v>-51078</v>
      </c>
      <c r="AB766">
        <f t="shared" si="22"/>
        <v>-0.79667417620227954</v>
      </c>
    </row>
    <row r="767" spans="1:28">
      <c r="A767" t="s">
        <v>46</v>
      </c>
      <c r="B767" s="2">
        <v>45474</v>
      </c>
      <c r="C767" s="2">
        <v>45444</v>
      </c>
      <c r="D767" s="2">
        <v>45555</v>
      </c>
      <c r="E767">
        <v>66856835</v>
      </c>
      <c r="F767">
        <v>66470474</v>
      </c>
      <c r="G767">
        <v>-386361</v>
      </c>
      <c r="H767">
        <v>88.22</v>
      </c>
      <c r="I767">
        <v>790000</v>
      </c>
      <c r="J767" t="s">
        <v>29</v>
      </c>
      <c r="K767">
        <v>68.150000000000006</v>
      </c>
      <c r="L767">
        <v>68.94</v>
      </c>
      <c r="M767">
        <v>23591034</v>
      </c>
      <c r="N767">
        <v>23433054</v>
      </c>
      <c r="O767">
        <v>0</v>
      </c>
      <c r="P767">
        <v>0</v>
      </c>
      <c r="Q767">
        <v>10485204</v>
      </c>
      <c r="R767">
        <v>10311213</v>
      </c>
      <c r="S767">
        <v>5523352</v>
      </c>
      <c r="T767">
        <v>5567277</v>
      </c>
      <c r="U767">
        <v>0</v>
      </c>
      <c r="V767">
        <v>0</v>
      </c>
      <c r="W767">
        <v>0</v>
      </c>
      <c r="X767">
        <v>0</v>
      </c>
      <c r="Y767">
        <v>27257245</v>
      </c>
      <c r="Z767">
        <v>27158930</v>
      </c>
      <c r="AA767">
        <f t="shared" si="23"/>
        <v>-173991</v>
      </c>
      <c r="AB767">
        <f t="shared" si="22"/>
        <v>-1.659395468128231</v>
      </c>
    </row>
    <row r="768" spans="1:28">
      <c r="A768" t="s">
        <v>47</v>
      </c>
      <c r="B768" s="2">
        <v>45474</v>
      </c>
      <c r="C768" s="2">
        <v>45444</v>
      </c>
      <c r="D768" s="2">
        <v>45555</v>
      </c>
      <c r="E768">
        <v>78728243</v>
      </c>
      <c r="F768">
        <v>78550169</v>
      </c>
      <c r="G768">
        <v>-178074</v>
      </c>
      <c r="H768">
        <v>90.47</v>
      </c>
      <c r="I768">
        <v>680000</v>
      </c>
      <c r="J768" t="s">
        <v>29</v>
      </c>
      <c r="K768">
        <v>63.68</v>
      </c>
      <c r="L768">
        <v>64.36</v>
      </c>
      <c r="M768">
        <v>29845231</v>
      </c>
      <c r="N768">
        <v>29836739</v>
      </c>
      <c r="O768">
        <v>0</v>
      </c>
      <c r="P768">
        <v>0</v>
      </c>
      <c r="Q768">
        <v>15450255</v>
      </c>
      <c r="R768">
        <v>15333918</v>
      </c>
      <c r="S768">
        <v>7323605</v>
      </c>
      <c r="T768">
        <v>7506870</v>
      </c>
      <c r="U768">
        <v>188010</v>
      </c>
      <c r="V768">
        <v>203346</v>
      </c>
      <c r="W768">
        <v>0</v>
      </c>
      <c r="X768">
        <v>0</v>
      </c>
      <c r="Y768">
        <v>25921142</v>
      </c>
      <c r="Z768">
        <v>25669296</v>
      </c>
      <c r="AA768">
        <f t="shared" si="23"/>
        <v>-116337</v>
      </c>
      <c r="AB768">
        <f t="shared" si="22"/>
        <v>-0.75297786347215623</v>
      </c>
    </row>
    <row r="769" spans="1:28">
      <c r="A769" t="s">
        <v>48</v>
      </c>
      <c r="B769" s="2">
        <v>45474</v>
      </c>
      <c r="C769" s="2">
        <v>45444</v>
      </c>
      <c r="D769" s="2">
        <v>45555</v>
      </c>
      <c r="E769">
        <v>102831840</v>
      </c>
      <c r="F769">
        <v>102770422</v>
      </c>
      <c r="G769">
        <v>-61418</v>
      </c>
      <c r="H769">
        <v>87.48</v>
      </c>
      <c r="I769">
        <v>1830000</v>
      </c>
      <c r="J769" t="s">
        <v>29</v>
      </c>
      <c r="K769">
        <v>94.97</v>
      </c>
      <c r="L769">
        <v>96.8</v>
      </c>
      <c r="M769">
        <v>37400385</v>
      </c>
      <c r="N769">
        <v>37038900</v>
      </c>
      <c r="O769">
        <v>0</v>
      </c>
      <c r="P769">
        <v>0</v>
      </c>
      <c r="Q769">
        <v>17104862</v>
      </c>
      <c r="R769">
        <v>16917330</v>
      </c>
      <c r="S769">
        <v>7473038</v>
      </c>
      <c r="T769">
        <v>7942489</v>
      </c>
      <c r="U769">
        <v>0</v>
      </c>
      <c r="V769">
        <v>0</v>
      </c>
      <c r="W769">
        <v>0</v>
      </c>
      <c r="X769">
        <v>0</v>
      </c>
      <c r="Y769">
        <v>40853555</v>
      </c>
      <c r="Z769">
        <v>40871703</v>
      </c>
      <c r="AA769">
        <f t="shared" si="23"/>
        <v>-187532</v>
      </c>
      <c r="AB769">
        <f t="shared" si="22"/>
        <v>-1.0963666354046002</v>
      </c>
    </row>
    <row r="770" spans="1:28">
      <c r="A770" t="s">
        <v>49</v>
      </c>
      <c r="B770" s="2">
        <v>45474</v>
      </c>
      <c r="C770" s="2">
        <v>45444</v>
      </c>
      <c r="D770" s="2">
        <v>45555</v>
      </c>
      <c r="E770">
        <v>63842354</v>
      </c>
      <c r="F770">
        <v>63860595</v>
      </c>
      <c r="G770">
        <v>18241</v>
      </c>
      <c r="H770">
        <v>91.14</v>
      </c>
      <c r="I770">
        <v>1300000</v>
      </c>
      <c r="J770" t="s">
        <v>29</v>
      </c>
      <c r="K770">
        <v>72.12</v>
      </c>
      <c r="L770">
        <v>73.42</v>
      </c>
      <c r="M770">
        <v>19004620</v>
      </c>
      <c r="N770">
        <v>18918504</v>
      </c>
      <c r="O770">
        <v>0</v>
      </c>
      <c r="P770">
        <v>0</v>
      </c>
      <c r="Q770">
        <v>15399180</v>
      </c>
      <c r="R770">
        <v>15321425</v>
      </c>
      <c r="S770">
        <v>4747091</v>
      </c>
      <c r="T770">
        <v>4934399</v>
      </c>
      <c r="U770">
        <v>0</v>
      </c>
      <c r="V770">
        <v>0</v>
      </c>
      <c r="W770">
        <v>0</v>
      </c>
      <c r="X770">
        <v>0</v>
      </c>
      <c r="Y770">
        <v>24691463</v>
      </c>
      <c r="Z770">
        <v>24686267</v>
      </c>
      <c r="AA770">
        <f t="shared" si="23"/>
        <v>-77755</v>
      </c>
      <c r="AB770">
        <f t="shared" si="22"/>
        <v>-0.50492948325819953</v>
      </c>
    </row>
    <row r="771" spans="1:28">
      <c r="A771" t="s">
        <v>50</v>
      </c>
      <c r="B771" s="2">
        <v>45474</v>
      </c>
      <c r="C771" s="2">
        <v>45444</v>
      </c>
      <c r="D771" s="2">
        <v>45555</v>
      </c>
      <c r="E771">
        <v>58138530</v>
      </c>
      <c r="F771">
        <v>58092870</v>
      </c>
      <c r="G771">
        <v>-45660</v>
      </c>
      <c r="H771">
        <v>88.42</v>
      </c>
      <c r="I771">
        <v>990000</v>
      </c>
      <c r="J771" t="s">
        <v>29</v>
      </c>
      <c r="K771">
        <v>57.66</v>
      </c>
      <c r="L771">
        <v>58.65</v>
      </c>
      <c r="M771">
        <v>18400179</v>
      </c>
      <c r="N771">
        <v>18254778</v>
      </c>
      <c r="O771">
        <v>0</v>
      </c>
      <c r="P771">
        <v>0</v>
      </c>
      <c r="Q771">
        <v>12925151</v>
      </c>
      <c r="R771">
        <v>12749686</v>
      </c>
      <c r="S771">
        <v>2310124</v>
      </c>
      <c r="T771">
        <v>2558072</v>
      </c>
      <c r="U771">
        <v>0</v>
      </c>
      <c r="V771">
        <v>0</v>
      </c>
      <c r="W771">
        <v>0</v>
      </c>
      <c r="X771">
        <v>0</v>
      </c>
      <c r="Y771">
        <v>24503076</v>
      </c>
      <c r="Z771">
        <v>24530334</v>
      </c>
      <c r="AA771">
        <f t="shared" si="23"/>
        <v>-175465</v>
      </c>
      <c r="AB771">
        <f t="shared" ref="AB771:AB834" si="24">(($R771-$Q771)/$Q771)*100</f>
        <v>-1.3575470027390784</v>
      </c>
    </row>
    <row r="772" spans="1:28">
      <c r="A772" t="s">
        <v>28</v>
      </c>
      <c r="B772" s="2">
        <v>45505</v>
      </c>
      <c r="C772" s="2">
        <v>45474</v>
      </c>
      <c r="D772" s="2">
        <v>45590</v>
      </c>
      <c r="E772">
        <v>84137057</v>
      </c>
      <c r="F772">
        <v>83685339</v>
      </c>
      <c r="G772">
        <v>-451718</v>
      </c>
      <c r="H772">
        <v>91.7</v>
      </c>
      <c r="I772">
        <v>790000</v>
      </c>
      <c r="J772" t="s">
        <v>29</v>
      </c>
      <c r="K772">
        <v>67.39</v>
      </c>
      <c r="L772">
        <v>68.180000000000007</v>
      </c>
      <c r="M772">
        <v>33989599</v>
      </c>
      <c r="N772">
        <v>33802351</v>
      </c>
      <c r="O772">
        <v>0</v>
      </c>
      <c r="P772">
        <v>0</v>
      </c>
      <c r="Q772">
        <v>10590428</v>
      </c>
      <c r="R772">
        <v>10457668</v>
      </c>
      <c r="S772">
        <v>6578913</v>
      </c>
      <c r="T772">
        <v>6855104</v>
      </c>
      <c r="U772">
        <v>0</v>
      </c>
      <c r="V772">
        <v>0</v>
      </c>
      <c r="W772">
        <v>0</v>
      </c>
      <c r="X772">
        <v>0</v>
      </c>
      <c r="Y772">
        <v>32978117</v>
      </c>
      <c r="Z772">
        <v>32570216</v>
      </c>
      <c r="AA772">
        <f t="shared" ref="AA772:AA835" si="25">$R772-$Q772</f>
        <v>-132760</v>
      </c>
      <c r="AB772">
        <f t="shared" si="24"/>
        <v>-1.2535848409526036</v>
      </c>
    </row>
    <row r="773" spans="1:28">
      <c r="A773" t="s">
        <v>30</v>
      </c>
      <c r="B773" s="2">
        <v>45505</v>
      </c>
      <c r="C773" s="2">
        <v>45474</v>
      </c>
      <c r="D773" s="2">
        <v>45590</v>
      </c>
      <c r="E773">
        <v>26516457</v>
      </c>
      <c r="F773">
        <v>26214284</v>
      </c>
      <c r="G773">
        <v>-302173</v>
      </c>
      <c r="H773">
        <v>92.43</v>
      </c>
      <c r="I773">
        <v>130000</v>
      </c>
      <c r="J773" t="s">
        <v>29</v>
      </c>
      <c r="K773">
        <v>7.35</v>
      </c>
      <c r="L773">
        <v>7.48</v>
      </c>
      <c r="M773">
        <v>11970108</v>
      </c>
      <c r="N773">
        <v>11863283</v>
      </c>
      <c r="O773">
        <v>0</v>
      </c>
      <c r="P773">
        <v>0</v>
      </c>
      <c r="Q773">
        <v>1510887</v>
      </c>
      <c r="R773">
        <v>1485672</v>
      </c>
      <c r="S773">
        <v>3033387</v>
      </c>
      <c r="T773">
        <v>2993033</v>
      </c>
      <c r="U773">
        <v>0</v>
      </c>
      <c r="V773">
        <v>0</v>
      </c>
      <c r="W773">
        <v>0</v>
      </c>
      <c r="X773">
        <v>0</v>
      </c>
      <c r="Y773">
        <v>10002075</v>
      </c>
      <c r="Z773">
        <v>9872296</v>
      </c>
      <c r="AA773">
        <f t="shared" si="25"/>
        <v>-25215</v>
      </c>
      <c r="AB773">
        <f t="shared" si="24"/>
        <v>-1.6688872165820476</v>
      </c>
    </row>
    <row r="774" spans="1:28">
      <c r="A774" t="s">
        <v>31</v>
      </c>
      <c r="B774" s="2">
        <v>45505</v>
      </c>
      <c r="C774" s="2">
        <v>45474</v>
      </c>
      <c r="D774" s="2">
        <v>45590</v>
      </c>
      <c r="E774">
        <v>96055444</v>
      </c>
      <c r="F774">
        <v>95135508</v>
      </c>
      <c r="G774">
        <v>-919936</v>
      </c>
      <c r="H774">
        <v>82.94</v>
      </c>
      <c r="I774">
        <v>1060000</v>
      </c>
      <c r="J774" t="s">
        <v>29</v>
      </c>
      <c r="K774">
        <v>56.75</v>
      </c>
      <c r="L774">
        <v>57.81</v>
      </c>
      <c r="M774">
        <v>41089037</v>
      </c>
      <c r="N774">
        <v>40599123</v>
      </c>
      <c r="O774">
        <v>0</v>
      </c>
      <c r="P774">
        <v>0</v>
      </c>
      <c r="Q774">
        <v>7591934</v>
      </c>
      <c r="R774">
        <v>7564756</v>
      </c>
      <c r="S774">
        <v>5561593</v>
      </c>
      <c r="T774">
        <v>5849336</v>
      </c>
      <c r="U774">
        <v>0</v>
      </c>
      <c r="V774">
        <v>0</v>
      </c>
      <c r="W774">
        <v>0</v>
      </c>
      <c r="X774">
        <v>0</v>
      </c>
      <c r="Y774">
        <v>41812880</v>
      </c>
      <c r="Z774">
        <v>41122293</v>
      </c>
      <c r="AA774">
        <f t="shared" si="25"/>
        <v>-27178</v>
      </c>
      <c r="AB774">
        <f t="shared" si="24"/>
        <v>-0.35798519850146221</v>
      </c>
    </row>
    <row r="775" spans="1:28">
      <c r="A775" t="s">
        <v>32</v>
      </c>
      <c r="B775" s="2">
        <v>45505</v>
      </c>
      <c r="C775" s="2">
        <v>45474</v>
      </c>
      <c r="D775" s="2">
        <v>45590</v>
      </c>
      <c r="E775">
        <v>57104030</v>
      </c>
      <c r="F775">
        <v>56986454</v>
      </c>
      <c r="G775">
        <v>-117576</v>
      </c>
      <c r="H775">
        <v>55.98</v>
      </c>
      <c r="I775">
        <v>580000</v>
      </c>
      <c r="J775" t="s">
        <v>29</v>
      </c>
      <c r="K775">
        <v>48.5</v>
      </c>
      <c r="L775">
        <v>49.08</v>
      </c>
      <c r="M775">
        <v>18301168</v>
      </c>
      <c r="N775">
        <v>18330214</v>
      </c>
      <c r="O775">
        <v>0</v>
      </c>
      <c r="P775">
        <v>0</v>
      </c>
      <c r="Q775">
        <v>16743602</v>
      </c>
      <c r="R775">
        <v>16753908</v>
      </c>
      <c r="S775">
        <v>0</v>
      </c>
      <c r="T775">
        <v>0</v>
      </c>
      <c r="U775">
        <v>0</v>
      </c>
      <c r="V775">
        <v>0</v>
      </c>
      <c r="W775">
        <v>1684191</v>
      </c>
      <c r="X775">
        <v>1684274</v>
      </c>
      <c r="Y775">
        <v>20375069</v>
      </c>
      <c r="Z775">
        <v>20218058</v>
      </c>
      <c r="AA775">
        <f t="shared" si="25"/>
        <v>10306</v>
      </c>
      <c r="AB775">
        <f t="shared" si="24"/>
        <v>6.1551869185614901E-2</v>
      </c>
    </row>
    <row r="776" spans="1:28">
      <c r="A776" t="s">
        <v>33</v>
      </c>
      <c r="B776" s="2">
        <v>45505</v>
      </c>
      <c r="C776" s="2">
        <v>45474</v>
      </c>
      <c r="D776" s="2">
        <v>45590</v>
      </c>
      <c r="E776">
        <v>65712884</v>
      </c>
      <c r="F776">
        <v>65897394</v>
      </c>
      <c r="G776">
        <v>184510</v>
      </c>
      <c r="H776">
        <v>91.35</v>
      </c>
      <c r="I776">
        <v>990000</v>
      </c>
      <c r="J776" t="s">
        <v>29</v>
      </c>
      <c r="K776">
        <v>68.81</v>
      </c>
      <c r="L776">
        <v>69.8</v>
      </c>
      <c r="M776">
        <v>11916953</v>
      </c>
      <c r="N776">
        <v>11966970</v>
      </c>
      <c r="O776">
        <v>0</v>
      </c>
      <c r="P776">
        <v>0</v>
      </c>
      <c r="Q776">
        <v>20319894</v>
      </c>
      <c r="R776">
        <v>20219824</v>
      </c>
      <c r="S776">
        <v>2899535</v>
      </c>
      <c r="T776">
        <v>3130938</v>
      </c>
      <c r="U776">
        <v>0</v>
      </c>
      <c r="V776">
        <v>0</v>
      </c>
      <c r="W776">
        <v>0</v>
      </c>
      <c r="X776">
        <v>0</v>
      </c>
      <c r="Y776">
        <v>30576502</v>
      </c>
      <c r="Z776">
        <v>30579662</v>
      </c>
      <c r="AA776">
        <f t="shared" si="25"/>
        <v>-100070</v>
      </c>
      <c r="AB776">
        <f t="shared" si="24"/>
        <v>-0.49247304144401544</v>
      </c>
    </row>
    <row r="777" spans="1:28">
      <c r="A777" t="s">
        <v>34</v>
      </c>
      <c r="B777" s="2">
        <v>45505</v>
      </c>
      <c r="C777" s="2">
        <v>45474</v>
      </c>
      <c r="D777" s="2">
        <v>45590</v>
      </c>
      <c r="E777">
        <v>26586776</v>
      </c>
      <c r="F777">
        <v>26515745</v>
      </c>
      <c r="G777">
        <v>-71031</v>
      </c>
      <c r="H777">
        <v>90.87</v>
      </c>
      <c r="I777">
        <v>440000</v>
      </c>
      <c r="J777" t="s">
        <v>29</v>
      </c>
      <c r="K777">
        <v>31.98</v>
      </c>
      <c r="L777">
        <v>32.42</v>
      </c>
      <c r="M777">
        <v>7092103</v>
      </c>
      <c r="N777">
        <v>7060416</v>
      </c>
      <c r="O777">
        <v>0</v>
      </c>
      <c r="P777">
        <v>0</v>
      </c>
      <c r="Q777">
        <v>6684372</v>
      </c>
      <c r="R777">
        <v>6646717</v>
      </c>
      <c r="S777">
        <v>4081920</v>
      </c>
      <c r="T777">
        <v>4115406</v>
      </c>
      <c r="U777">
        <v>0</v>
      </c>
      <c r="V777">
        <v>0</v>
      </c>
      <c r="W777">
        <v>0</v>
      </c>
      <c r="X777">
        <v>0</v>
      </c>
      <c r="Y777">
        <v>8728381</v>
      </c>
      <c r="Z777">
        <v>8693206</v>
      </c>
      <c r="AA777">
        <f t="shared" si="25"/>
        <v>-37655</v>
      </c>
      <c r="AB777">
        <f t="shared" si="24"/>
        <v>-0.56332891107795913</v>
      </c>
    </row>
    <row r="778" spans="1:28">
      <c r="A778" t="s">
        <v>35</v>
      </c>
      <c r="B778" s="2">
        <v>45505</v>
      </c>
      <c r="C778" s="2">
        <v>45474</v>
      </c>
      <c r="D778" s="2">
        <v>45590</v>
      </c>
      <c r="E778">
        <v>8875174</v>
      </c>
      <c r="F778">
        <v>8904974</v>
      </c>
      <c r="G778">
        <v>29800</v>
      </c>
      <c r="H778">
        <v>105.17</v>
      </c>
      <c r="I778">
        <v>60000</v>
      </c>
      <c r="J778" t="s">
        <v>29</v>
      </c>
      <c r="K778">
        <v>4.3099999999999996</v>
      </c>
      <c r="L778">
        <v>4.37</v>
      </c>
      <c r="M778">
        <v>3592169</v>
      </c>
      <c r="N778">
        <v>3572415</v>
      </c>
      <c r="O778">
        <v>0</v>
      </c>
      <c r="P778">
        <v>0</v>
      </c>
      <c r="Q778">
        <v>388302</v>
      </c>
      <c r="R778">
        <v>386325</v>
      </c>
      <c r="S778">
        <v>1568692</v>
      </c>
      <c r="T778">
        <v>1625405</v>
      </c>
      <c r="U778">
        <v>0</v>
      </c>
      <c r="V778">
        <v>0</v>
      </c>
      <c r="W778">
        <v>0</v>
      </c>
      <c r="X778">
        <v>0</v>
      </c>
      <c r="Y778">
        <v>3326011</v>
      </c>
      <c r="Z778">
        <v>3320829</v>
      </c>
      <c r="AA778">
        <f t="shared" si="25"/>
        <v>-1977</v>
      </c>
      <c r="AB778">
        <f t="shared" si="24"/>
        <v>-0.50913979325370462</v>
      </c>
    </row>
    <row r="779" spans="1:28">
      <c r="A779" t="s">
        <v>36</v>
      </c>
      <c r="B779" s="2">
        <v>45505</v>
      </c>
      <c r="C779" s="2">
        <v>45474</v>
      </c>
      <c r="D779" s="2">
        <v>45590</v>
      </c>
      <c r="E779">
        <v>12544711</v>
      </c>
      <c r="F779">
        <v>12540565</v>
      </c>
      <c r="G779">
        <v>-4146</v>
      </c>
      <c r="H779">
        <v>82.93</v>
      </c>
      <c r="I779">
        <v>80000</v>
      </c>
      <c r="J779" t="s">
        <v>29</v>
      </c>
      <c r="K779">
        <v>2.71</v>
      </c>
      <c r="L779">
        <v>2.79</v>
      </c>
      <c r="M779">
        <v>6171783</v>
      </c>
      <c r="N779">
        <v>6112285</v>
      </c>
      <c r="O779">
        <v>0</v>
      </c>
      <c r="P779">
        <v>0</v>
      </c>
      <c r="Q779">
        <v>280195</v>
      </c>
      <c r="R779">
        <v>277240</v>
      </c>
      <c r="S779">
        <v>839986</v>
      </c>
      <c r="T779">
        <v>895434</v>
      </c>
      <c r="U779">
        <v>0</v>
      </c>
      <c r="V779">
        <v>0</v>
      </c>
      <c r="W779">
        <v>0</v>
      </c>
      <c r="X779">
        <v>0</v>
      </c>
      <c r="Y779">
        <v>5252747</v>
      </c>
      <c r="Z779">
        <v>5255606</v>
      </c>
      <c r="AA779">
        <f t="shared" si="25"/>
        <v>-2955</v>
      </c>
      <c r="AB779">
        <f t="shared" si="24"/>
        <v>-1.0546226734952444</v>
      </c>
    </row>
    <row r="780" spans="1:28">
      <c r="A780" t="s">
        <v>37</v>
      </c>
      <c r="B780" s="2">
        <v>45505</v>
      </c>
      <c r="C780" s="2">
        <v>45474</v>
      </c>
      <c r="D780" s="2">
        <v>45590</v>
      </c>
      <c r="E780">
        <v>67605962</v>
      </c>
      <c r="F780">
        <v>67391810</v>
      </c>
      <c r="G780">
        <v>-214152</v>
      </c>
      <c r="H780">
        <v>80.12</v>
      </c>
      <c r="I780">
        <v>670000</v>
      </c>
      <c r="J780" t="s">
        <v>29</v>
      </c>
      <c r="K780">
        <v>69</v>
      </c>
      <c r="L780">
        <v>69.67</v>
      </c>
      <c r="M780">
        <v>32362339</v>
      </c>
      <c r="N780">
        <v>32236966</v>
      </c>
      <c r="O780">
        <v>0</v>
      </c>
      <c r="P780">
        <v>0</v>
      </c>
      <c r="Q780">
        <v>6398322</v>
      </c>
      <c r="R780">
        <v>6344325</v>
      </c>
      <c r="S780">
        <v>4300925</v>
      </c>
      <c r="T780">
        <v>4511626</v>
      </c>
      <c r="U780">
        <v>0</v>
      </c>
      <c r="V780">
        <v>0</v>
      </c>
      <c r="W780">
        <v>0</v>
      </c>
      <c r="X780">
        <v>0</v>
      </c>
      <c r="Y780">
        <v>24544376</v>
      </c>
      <c r="Z780">
        <v>24298893</v>
      </c>
      <c r="AA780">
        <f t="shared" si="25"/>
        <v>-53997</v>
      </c>
      <c r="AB780">
        <f t="shared" si="24"/>
        <v>-0.8439243914263771</v>
      </c>
    </row>
    <row r="781" spans="1:28">
      <c r="A781" t="s">
        <v>38</v>
      </c>
      <c r="B781" s="2">
        <v>45505</v>
      </c>
      <c r="C781" s="2">
        <v>45474</v>
      </c>
      <c r="D781" s="2">
        <v>45590</v>
      </c>
      <c r="E781">
        <v>41860933</v>
      </c>
      <c r="F781">
        <v>41717199</v>
      </c>
      <c r="G781">
        <v>-143734</v>
      </c>
      <c r="H781">
        <v>93.9</v>
      </c>
      <c r="I781">
        <v>310000</v>
      </c>
      <c r="J781" t="s">
        <v>29</v>
      </c>
      <c r="K781">
        <v>24.32</v>
      </c>
      <c r="L781">
        <v>24.63</v>
      </c>
      <c r="M781">
        <v>8779707</v>
      </c>
      <c r="N781">
        <v>8761014</v>
      </c>
      <c r="O781">
        <v>0</v>
      </c>
      <c r="P781">
        <v>0</v>
      </c>
      <c r="Q781">
        <v>13371728</v>
      </c>
      <c r="R781">
        <v>13303055</v>
      </c>
      <c r="S781">
        <v>8605862</v>
      </c>
      <c r="T781">
        <v>8678415</v>
      </c>
      <c r="U781">
        <v>0</v>
      </c>
      <c r="V781">
        <v>0</v>
      </c>
      <c r="W781">
        <v>0</v>
      </c>
      <c r="X781">
        <v>0</v>
      </c>
      <c r="Y781">
        <v>11103636</v>
      </c>
      <c r="Z781">
        <v>10974715</v>
      </c>
      <c r="AA781">
        <f t="shared" si="25"/>
        <v>-68673</v>
      </c>
      <c r="AB781">
        <f t="shared" si="24"/>
        <v>-0.51356862777944634</v>
      </c>
    </row>
    <row r="782" spans="1:28">
      <c r="A782" t="s">
        <v>39</v>
      </c>
      <c r="B782" s="2">
        <v>45505</v>
      </c>
      <c r="C782" s="2">
        <v>45474</v>
      </c>
      <c r="D782" s="2">
        <v>45590</v>
      </c>
      <c r="E782">
        <v>23263628</v>
      </c>
      <c r="F782">
        <v>23228046</v>
      </c>
      <c r="G782">
        <v>-35582</v>
      </c>
      <c r="H782">
        <v>88.36</v>
      </c>
      <c r="I782">
        <v>230000</v>
      </c>
      <c r="J782" t="s">
        <v>29</v>
      </c>
      <c r="K782">
        <v>18.63</v>
      </c>
      <c r="L782">
        <v>18.86</v>
      </c>
      <c r="M782">
        <v>5604615</v>
      </c>
      <c r="N782">
        <v>5538557</v>
      </c>
      <c r="O782">
        <v>0</v>
      </c>
      <c r="P782">
        <v>0</v>
      </c>
      <c r="Q782">
        <v>5214201</v>
      </c>
      <c r="R782">
        <v>5161501</v>
      </c>
      <c r="S782">
        <v>1525975</v>
      </c>
      <c r="T782">
        <v>1615508</v>
      </c>
      <c r="U782">
        <v>0</v>
      </c>
      <c r="V782">
        <v>0</v>
      </c>
      <c r="W782">
        <v>0</v>
      </c>
      <c r="X782">
        <v>0</v>
      </c>
      <c r="Y782">
        <v>10918837</v>
      </c>
      <c r="Z782">
        <v>10912480</v>
      </c>
      <c r="AA782">
        <f t="shared" si="25"/>
        <v>-52700</v>
      </c>
      <c r="AB782">
        <f t="shared" si="24"/>
        <v>-1.0107013519425123</v>
      </c>
    </row>
    <row r="783" spans="1:28">
      <c r="A783" t="s">
        <v>40</v>
      </c>
      <c r="B783" s="2">
        <v>45505</v>
      </c>
      <c r="C783" s="2">
        <v>45474</v>
      </c>
      <c r="D783" s="2">
        <v>45590</v>
      </c>
      <c r="E783">
        <v>80666042</v>
      </c>
      <c r="F783">
        <v>80331937</v>
      </c>
      <c r="G783">
        <v>-334105</v>
      </c>
      <c r="H783">
        <v>82.24</v>
      </c>
      <c r="I783">
        <v>1270000</v>
      </c>
      <c r="J783" t="s">
        <v>29</v>
      </c>
      <c r="K783">
        <v>78.58</v>
      </c>
      <c r="L783">
        <v>79.849999999999994</v>
      </c>
      <c r="M783">
        <v>16241312</v>
      </c>
      <c r="N783">
        <v>16223521</v>
      </c>
      <c r="O783">
        <v>0</v>
      </c>
      <c r="P783">
        <v>0</v>
      </c>
      <c r="Q783">
        <v>15250808</v>
      </c>
      <c r="R783">
        <v>15025854</v>
      </c>
      <c r="S783">
        <v>4875012</v>
      </c>
      <c r="T783">
        <v>5028617</v>
      </c>
      <c r="U783">
        <v>0</v>
      </c>
      <c r="V783">
        <v>0</v>
      </c>
      <c r="W783">
        <v>0</v>
      </c>
      <c r="X783">
        <v>0</v>
      </c>
      <c r="Y783">
        <v>44298910</v>
      </c>
      <c r="Z783">
        <v>44053945</v>
      </c>
      <c r="AA783">
        <f t="shared" si="25"/>
        <v>-224954</v>
      </c>
      <c r="AB783">
        <f t="shared" si="24"/>
        <v>-1.4750300443097835</v>
      </c>
    </row>
    <row r="784" spans="1:28">
      <c r="A784" t="s">
        <v>41</v>
      </c>
      <c r="B784" s="2">
        <v>45505</v>
      </c>
      <c r="C784" s="2">
        <v>45474</v>
      </c>
      <c r="D784" s="2">
        <v>45590</v>
      </c>
      <c r="E784">
        <v>92777598</v>
      </c>
      <c r="F784">
        <v>92372377</v>
      </c>
      <c r="G784">
        <v>-405221</v>
      </c>
      <c r="H784">
        <v>89.91</v>
      </c>
      <c r="I784">
        <v>1190000</v>
      </c>
      <c r="J784" t="s">
        <v>29</v>
      </c>
      <c r="K784">
        <v>82.76</v>
      </c>
      <c r="L784">
        <v>83.95</v>
      </c>
      <c r="M784">
        <v>22144837</v>
      </c>
      <c r="N784">
        <v>22213479</v>
      </c>
      <c r="O784">
        <v>0</v>
      </c>
      <c r="P784">
        <v>0</v>
      </c>
      <c r="Q784">
        <v>21727203</v>
      </c>
      <c r="R784">
        <v>21603100</v>
      </c>
      <c r="S784">
        <v>5586235</v>
      </c>
      <c r="T784">
        <v>5643171</v>
      </c>
      <c r="U784">
        <v>0</v>
      </c>
      <c r="V784">
        <v>0</v>
      </c>
      <c r="W784">
        <v>0</v>
      </c>
      <c r="X784">
        <v>0</v>
      </c>
      <c r="Y784">
        <v>43319323</v>
      </c>
      <c r="Z784">
        <v>42912627</v>
      </c>
      <c r="AA784">
        <f t="shared" si="25"/>
        <v>-124103</v>
      </c>
      <c r="AB784">
        <f t="shared" si="24"/>
        <v>-0.57118718870532947</v>
      </c>
    </row>
    <row r="785" spans="1:28">
      <c r="A785" t="s">
        <v>42</v>
      </c>
      <c r="B785" s="2">
        <v>45505</v>
      </c>
      <c r="C785" s="2">
        <v>45474</v>
      </c>
      <c r="D785" s="2">
        <v>45590</v>
      </c>
      <c r="E785">
        <v>34209502</v>
      </c>
      <c r="F785">
        <v>33993745</v>
      </c>
      <c r="G785">
        <v>-215757</v>
      </c>
      <c r="H785">
        <v>72.19</v>
      </c>
      <c r="I785">
        <v>270000</v>
      </c>
      <c r="J785" t="s">
        <v>29</v>
      </c>
      <c r="K785">
        <v>34.08</v>
      </c>
      <c r="L785">
        <v>34.35</v>
      </c>
      <c r="M785">
        <v>10121680</v>
      </c>
      <c r="N785">
        <v>10081363</v>
      </c>
      <c r="O785">
        <v>0</v>
      </c>
      <c r="P785">
        <v>0</v>
      </c>
      <c r="Q785">
        <v>10709628</v>
      </c>
      <c r="R785">
        <v>10700024</v>
      </c>
      <c r="S785">
        <v>0</v>
      </c>
      <c r="T785">
        <v>0</v>
      </c>
      <c r="U785">
        <v>0</v>
      </c>
      <c r="V785">
        <v>0</v>
      </c>
      <c r="W785">
        <v>227566</v>
      </c>
      <c r="X785">
        <v>224744</v>
      </c>
      <c r="Y785">
        <v>13150628</v>
      </c>
      <c r="Z785">
        <v>12987614</v>
      </c>
      <c r="AA785">
        <f t="shared" si="25"/>
        <v>-9604</v>
      </c>
      <c r="AB785">
        <f t="shared" si="24"/>
        <v>-8.9676317422043045E-2</v>
      </c>
    </row>
    <row r="786" spans="1:28">
      <c r="A786" t="s">
        <v>43</v>
      </c>
      <c r="B786" s="2">
        <v>45505</v>
      </c>
      <c r="C786" s="2">
        <v>45474</v>
      </c>
      <c r="D786" s="2">
        <v>45590</v>
      </c>
      <c r="E786">
        <v>12649227</v>
      </c>
      <c r="F786">
        <v>12598385</v>
      </c>
      <c r="G786">
        <v>-50842</v>
      </c>
      <c r="H786">
        <v>94.77</v>
      </c>
      <c r="I786">
        <v>30000</v>
      </c>
      <c r="J786" t="s">
        <v>29</v>
      </c>
      <c r="K786">
        <v>2.34</v>
      </c>
      <c r="L786">
        <v>2.37</v>
      </c>
      <c r="M786">
        <v>6313850</v>
      </c>
      <c r="N786">
        <v>6237710</v>
      </c>
      <c r="O786">
        <v>0</v>
      </c>
      <c r="P786">
        <v>0</v>
      </c>
      <c r="Q786">
        <v>710298</v>
      </c>
      <c r="R786">
        <v>693923</v>
      </c>
      <c r="S786">
        <v>1245260</v>
      </c>
      <c r="T786">
        <v>1284846</v>
      </c>
      <c r="U786">
        <v>0</v>
      </c>
      <c r="V786">
        <v>0</v>
      </c>
      <c r="W786">
        <v>0</v>
      </c>
      <c r="X786">
        <v>0</v>
      </c>
      <c r="Y786">
        <v>4379819</v>
      </c>
      <c r="Z786">
        <v>4381906</v>
      </c>
      <c r="AA786">
        <f t="shared" si="25"/>
        <v>-16375</v>
      </c>
      <c r="AB786">
        <f t="shared" si="24"/>
        <v>-2.3053704219918965</v>
      </c>
    </row>
    <row r="787" spans="1:28">
      <c r="A787" t="s">
        <v>44</v>
      </c>
      <c r="B787" s="2">
        <v>45505</v>
      </c>
      <c r="C787" s="2">
        <v>45474</v>
      </c>
      <c r="D787" s="2">
        <v>45590</v>
      </c>
      <c r="E787">
        <v>34377551</v>
      </c>
      <c r="F787">
        <v>33947163</v>
      </c>
      <c r="G787">
        <v>-430388</v>
      </c>
      <c r="H787">
        <v>92.09</v>
      </c>
      <c r="I787">
        <v>230000</v>
      </c>
      <c r="J787" t="s">
        <v>29</v>
      </c>
      <c r="K787">
        <v>17.82</v>
      </c>
      <c r="L787">
        <v>18.05</v>
      </c>
      <c r="M787">
        <v>11637636</v>
      </c>
      <c r="N787">
        <v>11482170</v>
      </c>
      <c r="O787">
        <v>0</v>
      </c>
      <c r="P787">
        <v>0</v>
      </c>
      <c r="Q787">
        <v>1397177</v>
      </c>
      <c r="R787">
        <v>1404314</v>
      </c>
      <c r="S787">
        <v>5392482</v>
      </c>
      <c r="T787">
        <v>5452811</v>
      </c>
      <c r="U787">
        <v>0</v>
      </c>
      <c r="V787">
        <v>0</v>
      </c>
      <c r="W787">
        <v>0</v>
      </c>
      <c r="X787">
        <v>0</v>
      </c>
      <c r="Y787">
        <v>15950256</v>
      </c>
      <c r="Z787">
        <v>15607868</v>
      </c>
      <c r="AA787">
        <f t="shared" si="25"/>
        <v>7137</v>
      </c>
      <c r="AB787">
        <f t="shared" si="24"/>
        <v>0.51081573773401656</v>
      </c>
    </row>
    <row r="788" spans="1:28">
      <c r="A788" t="s">
        <v>45</v>
      </c>
      <c r="B788" s="2">
        <v>45505</v>
      </c>
      <c r="C788" s="2">
        <v>45474</v>
      </c>
      <c r="D788" s="2">
        <v>45590</v>
      </c>
      <c r="E788">
        <v>34918426</v>
      </c>
      <c r="F788">
        <v>34955683</v>
      </c>
      <c r="G788">
        <v>37257</v>
      </c>
      <c r="H788">
        <v>91.54</v>
      </c>
      <c r="I788">
        <v>400000</v>
      </c>
      <c r="J788" t="s">
        <v>29</v>
      </c>
      <c r="K788">
        <v>33.630000000000003</v>
      </c>
      <c r="L788">
        <v>34.03</v>
      </c>
      <c r="M788">
        <v>12515326</v>
      </c>
      <c r="N788">
        <v>12418200</v>
      </c>
      <c r="O788">
        <v>0</v>
      </c>
      <c r="P788">
        <v>0</v>
      </c>
      <c r="Q788">
        <v>6360326</v>
      </c>
      <c r="R788">
        <v>6317007</v>
      </c>
      <c r="S788">
        <v>3908114</v>
      </c>
      <c r="T788">
        <v>4088583</v>
      </c>
      <c r="U788">
        <v>0</v>
      </c>
      <c r="V788">
        <v>0</v>
      </c>
      <c r="W788">
        <v>0</v>
      </c>
      <c r="X788">
        <v>0</v>
      </c>
      <c r="Y788">
        <v>12134660</v>
      </c>
      <c r="Z788">
        <v>12131893</v>
      </c>
      <c r="AA788">
        <f t="shared" si="25"/>
        <v>-43319</v>
      </c>
      <c r="AB788">
        <f t="shared" si="24"/>
        <v>-0.681081441422971</v>
      </c>
    </row>
    <row r="789" spans="1:28">
      <c r="A789" t="s">
        <v>46</v>
      </c>
      <c r="B789" s="2">
        <v>45505</v>
      </c>
      <c r="C789" s="2">
        <v>45474</v>
      </c>
      <c r="D789" s="2">
        <v>45590</v>
      </c>
      <c r="E789">
        <v>66470474</v>
      </c>
      <c r="F789">
        <v>65848260</v>
      </c>
      <c r="G789">
        <v>-622214</v>
      </c>
      <c r="H789">
        <v>89.27</v>
      </c>
      <c r="I789">
        <v>810000</v>
      </c>
      <c r="J789" t="s">
        <v>29</v>
      </c>
      <c r="K789">
        <v>68.94</v>
      </c>
      <c r="L789">
        <v>69.75</v>
      </c>
      <c r="M789">
        <v>23433054</v>
      </c>
      <c r="N789">
        <v>23140674</v>
      </c>
      <c r="O789">
        <v>0</v>
      </c>
      <c r="P789">
        <v>0</v>
      </c>
      <c r="Q789">
        <v>10311213</v>
      </c>
      <c r="R789">
        <v>10025018</v>
      </c>
      <c r="S789">
        <v>5567277</v>
      </c>
      <c r="T789">
        <v>5589613</v>
      </c>
      <c r="U789">
        <v>0</v>
      </c>
      <c r="V789">
        <v>0</v>
      </c>
      <c r="W789">
        <v>0</v>
      </c>
      <c r="X789">
        <v>0</v>
      </c>
      <c r="Y789">
        <v>27158930</v>
      </c>
      <c r="Z789">
        <v>27092955</v>
      </c>
      <c r="AA789">
        <f t="shared" si="25"/>
        <v>-286195</v>
      </c>
      <c r="AB789">
        <f t="shared" si="24"/>
        <v>-2.7755706336393207</v>
      </c>
    </row>
    <row r="790" spans="1:28">
      <c r="A790" t="s">
        <v>47</v>
      </c>
      <c r="B790" s="2">
        <v>45505</v>
      </c>
      <c r="C790" s="2">
        <v>45474</v>
      </c>
      <c r="D790" s="2">
        <v>45590</v>
      </c>
      <c r="E790">
        <v>78550169</v>
      </c>
      <c r="F790">
        <v>78304480</v>
      </c>
      <c r="G790">
        <v>-245689</v>
      </c>
      <c r="H790">
        <v>90.08</v>
      </c>
      <c r="I790">
        <v>750000</v>
      </c>
      <c r="J790" t="s">
        <v>29</v>
      </c>
      <c r="K790">
        <v>64.36</v>
      </c>
      <c r="L790">
        <v>65.11</v>
      </c>
      <c r="M790">
        <v>29836739</v>
      </c>
      <c r="N790">
        <v>29795754</v>
      </c>
      <c r="O790">
        <v>0</v>
      </c>
      <c r="P790">
        <v>0</v>
      </c>
      <c r="Q790">
        <v>15333918</v>
      </c>
      <c r="R790">
        <v>15229938</v>
      </c>
      <c r="S790">
        <v>7506870</v>
      </c>
      <c r="T790">
        <v>7734172</v>
      </c>
      <c r="U790">
        <v>203346</v>
      </c>
      <c r="V790">
        <v>204460</v>
      </c>
      <c r="W790">
        <v>0</v>
      </c>
      <c r="X790">
        <v>0</v>
      </c>
      <c r="Y790">
        <v>25669296</v>
      </c>
      <c r="Z790">
        <v>25340156</v>
      </c>
      <c r="AA790">
        <f t="shared" si="25"/>
        <v>-103980</v>
      </c>
      <c r="AB790">
        <f t="shared" si="24"/>
        <v>-0.67810457836020777</v>
      </c>
    </row>
    <row r="791" spans="1:28">
      <c r="A791" t="s">
        <v>48</v>
      </c>
      <c r="B791" s="2">
        <v>45505</v>
      </c>
      <c r="C791" s="2">
        <v>45474</v>
      </c>
      <c r="D791" s="2">
        <v>45590</v>
      </c>
      <c r="E791">
        <v>102770422</v>
      </c>
      <c r="F791">
        <v>101903377</v>
      </c>
      <c r="G791">
        <v>-867045</v>
      </c>
      <c r="H791">
        <v>85.81</v>
      </c>
      <c r="I791">
        <v>1930000</v>
      </c>
      <c r="J791" t="s">
        <v>29</v>
      </c>
      <c r="K791">
        <v>96.8</v>
      </c>
      <c r="L791">
        <v>98.73</v>
      </c>
      <c r="M791">
        <v>37038900</v>
      </c>
      <c r="N791">
        <v>36548722</v>
      </c>
      <c r="O791">
        <v>0</v>
      </c>
      <c r="P791">
        <v>0</v>
      </c>
      <c r="Q791">
        <v>16917330</v>
      </c>
      <c r="R791">
        <v>16641443</v>
      </c>
      <c r="S791">
        <v>7942489</v>
      </c>
      <c r="T791">
        <v>8223052</v>
      </c>
      <c r="U791">
        <v>0</v>
      </c>
      <c r="V791">
        <v>0</v>
      </c>
      <c r="W791">
        <v>0</v>
      </c>
      <c r="X791">
        <v>0</v>
      </c>
      <c r="Y791">
        <v>40871703</v>
      </c>
      <c r="Z791">
        <v>40490160</v>
      </c>
      <c r="AA791">
        <f t="shared" si="25"/>
        <v>-275887</v>
      </c>
      <c r="AB791">
        <f t="shared" si="24"/>
        <v>-1.6307951668496152</v>
      </c>
    </row>
    <row r="792" spans="1:28">
      <c r="A792" t="s">
        <v>49</v>
      </c>
      <c r="B792" s="2">
        <v>45505</v>
      </c>
      <c r="C792" s="2">
        <v>45474</v>
      </c>
      <c r="D792" s="2">
        <v>45590</v>
      </c>
      <c r="E792">
        <v>63860595</v>
      </c>
      <c r="F792">
        <v>63580202</v>
      </c>
      <c r="G792">
        <v>-280393</v>
      </c>
      <c r="H792">
        <v>89.22</v>
      </c>
      <c r="I792">
        <v>1410000</v>
      </c>
      <c r="J792" t="s">
        <v>29</v>
      </c>
      <c r="K792">
        <v>73.42</v>
      </c>
      <c r="L792">
        <v>74.83</v>
      </c>
      <c r="M792">
        <v>18918504</v>
      </c>
      <c r="N792">
        <v>18822073</v>
      </c>
      <c r="O792">
        <v>0</v>
      </c>
      <c r="P792">
        <v>0</v>
      </c>
      <c r="Q792">
        <v>15321425</v>
      </c>
      <c r="R792">
        <v>15186440</v>
      </c>
      <c r="S792">
        <v>4934399</v>
      </c>
      <c r="T792">
        <v>5140253</v>
      </c>
      <c r="U792">
        <v>0</v>
      </c>
      <c r="V792">
        <v>0</v>
      </c>
      <c r="W792">
        <v>0</v>
      </c>
      <c r="X792">
        <v>0</v>
      </c>
      <c r="Y792">
        <v>24686267</v>
      </c>
      <c r="Z792">
        <v>24431436</v>
      </c>
      <c r="AA792">
        <f t="shared" si="25"/>
        <v>-134985</v>
      </c>
      <c r="AB792">
        <f t="shared" si="24"/>
        <v>-0.88102118438722243</v>
      </c>
    </row>
    <row r="793" spans="1:28">
      <c r="A793" t="s">
        <v>50</v>
      </c>
      <c r="B793" s="2">
        <v>45505</v>
      </c>
      <c r="C793" s="2">
        <v>45474</v>
      </c>
      <c r="D793" s="2">
        <v>45590</v>
      </c>
      <c r="E793">
        <v>58092870</v>
      </c>
      <c r="F793">
        <v>57781877</v>
      </c>
      <c r="G793">
        <v>-310993</v>
      </c>
      <c r="H793">
        <v>87.38</v>
      </c>
      <c r="I793">
        <v>1030000</v>
      </c>
      <c r="J793" t="s">
        <v>29</v>
      </c>
      <c r="K793">
        <v>58.65</v>
      </c>
      <c r="L793">
        <v>59.68</v>
      </c>
      <c r="M793">
        <v>18254778</v>
      </c>
      <c r="N793">
        <v>18109835</v>
      </c>
      <c r="O793">
        <v>0</v>
      </c>
      <c r="P793">
        <v>0</v>
      </c>
      <c r="Q793">
        <v>12749686</v>
      </c>
      <c r="R793">
        <v>12580449</v>
      </c>
      <c r="S793">
        <v>2558072</v>
      </c>
      <c r="T793">
        <v>2590529</v>
      </c>
      <c r="U793">
        <v>0</v>
      </c>
      <c r="V793">
        <v>0</v>
      </c>
      <c r="W793">
        <v>0</v>
      </c>
      <c r="X793">
        <v>0</v>
      </c>
      <c r="Y793">
        <v>24530334</v>
      </c>
      <c r="Z793">
        <v>24501064</v>
      </c>
      <c r="AA793">
        <f t="shared" si="25"/>
        <v>-169237</v>
      </c>
      <c r="AB793">
        <f t="shared" si="24"/>
        <v>-1.3273817096358296</v>
      </c>
    </row>
    <row r="794" spans="1:28">
      <c r="A794" t="s">
        <v>28</v>
      </c>
      <c r="B794" s="2">
        <v>45536</v>
      </c>
      <c r="C794" s="2">
        <v>45505</v>
      </c>
      <c r="D794" s="2">
        <v>45617</v>
      </c>
      <c r="E794">
        <v>83685339</v>
      </c>
      <c r="F794">
        <v>82607381</v>
      </c>
      <c r="G794">
        <v>-1077958</v>
      </c>
      <c r="H794">
        <v>91.02</v>
      </c>
      <c r="I794">
        <v>680000</v>
      </c>
      <c r="J794" t="s">
        <v>29</v>
      </c>
      <c r="K794">
        <v>68.180000000000007</v>
      </c>
      <c r="L794">
        <v>68.86</v>
      </c>
      <c r="M794">
        <v>33802351</v>
      </c>
      <c r="N794">
        <v>33608237</v>
      </c>
      <c r="O794">
        <v>0</v>
      </c>
      <c r="P794">
        <v>0</v>
      </c>
      <c r="Q794">
        <v>10457668</v>
      </c>
      <c r="R794">
        <v>10317179</v>
      </c>
      <c r="S794">
        <v>6855104</v>
      </c>
      <c r="T794">
        <v>6748163</v>
      </c>
      <c r="U794">
        <v>0</v>
      </c>
      <c r="V794">
        <v>0</v>
      </c>
      <c r="W794">
        <v>0</v>
      </c>
      <c r="X794">
        <v>0</v>
      </c>
      <c r="Y794">
        <v>32570216</v>
      </c>
      <c r="Z794">
        <v>31933802</v>
      </c>
      <c r="AA794">
        <f t="shared" si="25"/>
        <v>-140489</v>
      </c>
      <c r="AB794">
        <f t="shared" si="24"/>
        <v>-1.3434065797460772</v>
      </c>
    </row>
    <row r="795" spans="1:28">
      <c r="A795" t="s">
        <v>30</v>
      </c>
      <c r="B795" s="2">
        <v>45536</v>
      </c>
      <c r="C795" s="2">
        <v>45505</v>
      </c>
      <c r="D795" s="2">
        <v>45617</v>
      </c>
      <c r="E795">
        <v>26214284</v>
      </c>
      <c r="F795">
        <v>25985382</v>
      </c>
      <c r="G795">
        <v>-228902</v>
      </c>
      <c r="H795">
        <v>92.07</v>
      </c>
      <c r="I795">
        <v>100000</v>
      </c>
      <c r="J795" t="s">
        <v>29</v>
      </c>
      <c r="K795">
        <v>7.48</v>
      </c>
      <c r="L795">
        <v>7.58</v>
      </c>
      <c r="M795">
        <v>11863283</v>
      </c>
      <c r="N795">
        <v>11754115</v>
      </c>
      <c r="O795">
        <v>0</v>
      </c>
      <c r="P795">
        <v>0</v>
      </c>
      <c r="Q795">
        <v>1485672</v>
      </c>
      <c r="R795">
        <v>1471300</v>
      </c>
      <c r="S795">
        <v>2993033</v>
      </c>
      <c r="T795">
        <v>2963211</v>
      </c>
      <c r="U795">
        <v>0</v>
      </c>
      <c r="V795">
        <v>0</v>
      </c>
      <c r="W795">
        <v>0</v>
      </c>
      <c r="X795">
        <v>0</v>
      </c>
      <c r="Y795">
        <v>9872296</v>
      </c>
      <c r="Z795">
        <v>9796756</v>
      </c>
      <c r="AA795">
        <f t="shared" si="25"/>
        <v>-14372</v>
      </c>
      <c r="AB795">
        <f t="shared" si="24"/>
        <v>-0.96737368678954716</v>
      </c>
    </row>
    <row r="796" spans="1:28">
      <c r="A796" t="s">
        <v>31</v>
      </c>
      <c r="B796" s="2">
        <v>45536</v>
      </c>
      <c r="C796" s="2">
        <v>45505</v>
      </c>
      <c r="D796" s="2">
        <v>45617</v>
      </c>
      <c r="E796">
        <v>95135508</v>
      </c>
      <c r="F796">
        <v>94648713</v>
      </c>
      <c r="G796">
        <v>-486795</v>
      </c>
      <c r="H796">
        <v>80.75</v>
      </c>
      <c r="I796">
        <v>1020000</v>
      </c>
      <c r="J796" t="s">
        <v>29</v>
      </c>
      <c r="K796">
        <v>57.81</v>
      </c>
      <c r="L796">
        <v>58.83</v>
      </c>
      <c r="M796">
        <v>40599123</v>
      </c>
      <c r="N796">
        <v>40272539</v>
      </c>
      <c r="O796">
        <v>0</v>
      </c>
      <c r="P796">
        <v>0</v>
      </c>
      <c r="Q796">
        <v>7564756</v>
      </c>
      <c r="R796">
        <v>7521467</v>
      </c>
      <c r="S796">
        <v>5849336</v>
      </c>
      <c r="T796">
        <v>6022905</v>
      </c>
      <c r="U796">
        <v>0</v>
      </c>
      <c r="V796">
        <v>0</v>
      </c>
      <c r="W796">
        <v>0</v>
      </c>
      <c r="X796">
        <v>0</v>
      </c>
      <c r="Y796">
        <v>41122293</v>
      </c>
      <c r="Z796">
        <v>40831802</v>
      </c>
      <c r="AA796">
        <f t="shared" si="25"/>
        <v>-43289</v>
      </c>
      <c r="AB796">
        <f t="shared" si="24"/>
        <v>-0.57224581995770918</v>
      </c>
    </row>
    <row r="797" spans="1:28">
      <c r="A797" t="s">
        <v>32</v>
      </c>
      <c r="B797" s="2">
        <v>45536</v>
      </c>
      <c r="C797" s="2">
        <v>45505</v>
      </c>
      <c r="D797" s="2">
        <v>45617</v>
      </c>
      <c r="E797">
        <v>56986454</v>
      </c>
      <c r="F797">
        <v>56516420</v>
      </c>
      <c r="G797">
        <v>-470034</v>
      </c>
      <c r="H797">
        <v>56.08</v>
      </c>
      <c r="I797">
        <v>600000</v>
      </c>
      <c r="J797" t="s">
        <v>29</v>
      </c>
      <c r="K797">
        <v>49.08</v>
      </c>
      <c r="L797">
        <v>49.68</v>
      </c>
      <c r="M797">
        <v>18330214</v>
      </c>
      <c r="N797">
        <v>18343793</v>
      </c>
      <c r="O797">
        <v>0</v>
      </c>
      <c r="P797">
        <v>0</v>
      </c>
      <c r="Q797">
        <v>16753908</v>
      </c>
      <c r="R797">
        <v>16744837</v>
      </c>
      <c r="S797">
        <v>0</v>
      </c>
      <c r="T797">
        <v>0</v>
      </c>
      <c r="U797">
        <v>0</v>
      </c>
      <c r="V797">
        <v>0</v>
      </c>
      <c r="W797">
        <v>1684274</v>
      </c>
      <c r="X797">
        <v>1684335</v>
      </c>
      <c r="Y797">
        <v>20218058</v>
      </c>
      <c r="Z797">
        <v>19743455</v>
      </c>
      <c r="AA797">
        <f t="shared" si="25"/>
        <v>-9071</v>
      </c>
      <c r="AB797">
        <f t="shared" si="24"/>
        <v>-5.4142591686667969E-2</v>
      </c>
    </row>
    <row r="798" spans="1:28">
      <c r="A798" t="s">
        <v>33</v>
      </c>
      <c r="B798" s="2">
        <v>45536</v>
      </c>
      <c r="C798" s="2">
        <v>45505</v>
      </c>
      <c r="D798" s="2">
        <v>45617</v>
      </c>
      <c r="E798">
        <v>65897394</v>
      </c>
      <c r="F798">
        <v>65089562</v>
      </c>
      <c r="G798">
        <v>-807832</v>
      </c>
      <c r="H798">
        <v>90.37</v>
      </c>
      <c r="I798">
        <v>930000</v>
      </c>
      <c r="J798" t="s">
        <v>29</v>
      </c>
      <c r="K798">
        <v>69.8</v>
      </c>
      <c r="L798">
        <v>70.73</v>
      </c>
      <c r="M798">
        <v>11966970</v>
      </c>
      <c r="N798">
        <v>12046106</v>
      </c>
      <c r="O798">
        <v>0</v>
      </c>
      <c r="P798">
        <v>0</v>
      </c>
      <c r="Q798">
        <v>20219824</v>
      </c>
      <c r="R798">
        <v>20108619</v>
      </c>
      <c r="S798">
        <v>3130938</v>
      </c>
      <c r="T798">
        <v>3262611</v>
      </c>
      <c r="U798">
        <v>0</v>
      </c>
      <c r="V798">
        <v>0</v>
      </c>
      <c r="W798">
        <v>0</v>
      </c>
      <c r="X798">
        <v>0</v>
      </c>
      <c r="Y798">
        <v>30579662</v>
      </c>
      <c r="Z798">
        <v>29672226</v>
      </c>
      <c r="AA798">
        <f t="shared" si="25"/>
        <v>-111205</v>
      </c>
      <c r="AB798">
        <f t="shared" si="24"/>
        <v>-0.54998005917361092</v>
      </c>
    </row>
    <row r="799" spans="1:28">
      <c r="A799" t="s">
        <v>34</v>
      </c>
      <c r="B799" s="2">
        <v>45536</v>
      </c>
      <c r="C799" s="2">
        <v>45505</v>
      </c>
      <c r="D799" s="2">
        <v>45617</v>
      </c>
      <c r="E799">
        <v>26515745</v>
      </c>
      <c r="F799">
        <v>26148729</v>
      </c>
      <c r="G799">
        <v>-367016</v>
      </c>
      <c r="H799">
        <v>91.74</v>
      </c>
      <c r="I799">
        <v>410000</v>
      </c>
      <c r="J799" t="s">
        <v>29</v>
      </c>
      <c r="K799">
        <v>32.42</v>
      </c>
      <c r="L799">
        <v>32.83</v>
      </c>
      <c r="M799">
        <v>7060416</v>
      </c>
      <c r="N799">
        <v>7041795</v>
      </c>
      <c r="O799">
        <v>0</v>
      </c>
      <c r="P799">
        <v>0</v>
      </c>
      <c r="Q799">
        <v>6646717</v>
      </c>
      <c r="R799">
        <v>6599715</v>
      </c>
      <c r="S799">
        <v>4115406</v>
      </c>
      <c r="T799">
        <v>4090143</v>
      </c>
      <c r="U799">
        <v>0</v>
      </c>
      <c r="V799">
        <v>0</v>
      </c>
      <c r="W799">
        <v>0</v>
      </c>
      <c r="X799">
        <v>0</v>
      </c>
      <c r="Y799">
        <v>8693206</v>
      </c>
      <c r="Z799">
        <v>8417076</v>
      </c>
      <c r="AA799">
        <f t="shared" si="25"/>
        <v>-47002</v>
      </c>
      <c r="AB799">
        <f t="shared" si="24"/>
        <v>-0.70714609934498496</v>
      </c>
    </row>
    <row r="800" spans="1:28">
      <c r="A800" t="s">
        <v>35</v>
      </c>
      <c r="B800" s="2">
        <v>45536</v>
      </c>
      <c r="C800" s="2">
        <v>45505</v>
      </c>
      <c r="D800" s="2">
        <v>45617</v>
      </c>
      <c r="E800">
        <v>8904974</v>
      </c>
      <c r="F800">
        <v>8834777</v>
      </c>
      <c r="G800">
        <v>-70197</v>
      </c>
      <c r="H800">
        <v>100.54</v>
      </c>
      <c r="I800">
        <v>50000</v>
      </c>
      <c r="J800" t="s">
        <v>29</v>
      </c>
      <c r="K800">
        <v>4.37</v>
      </c>
      <c r="L800">
        <v>4.42</v>
      </c>
      <c r="M800">
        <v>3572415</v>
      </c>
      <c r="N800">
        <v>3543951</v>
      </c>
      <c r="O800">
        <v>0</v>
      </c>
      <c r="P800">
        <v>0</v>
      </c>
      <c r="Q800">
        <v>386325</v>
      </c>
      <c r="R800">
        <v>384694</v>
      </c>
      <c r="S800">
        <v>1625405</v>
      </c>
      <c r="T800">
        <v>1648951</v>
      </c>
      <c r="U800">
        <v>0</v>
      </c>
      <c r="V800">
        <v>0</v>
      </c>
      <c r="W800">
        <v>0</v>
      </c>
      <c r="X800">
        <v>0</v>
      </c>
      <c r="Y800">
        <v>3320829</v>
      </c>
      <c r="Z800">
        <v>3257181</v>
      </c>
      <c r="AA800">
        <f t="shared" si="25"/>
        <v>-1631</v>
      </c>
      <c r="AB800">
        <f t="shared" si="24"/>
        <v>-0.42218339481006922</v>
      </c>
    </row>
    <row r="801" spans="1:28">
      <c r="A801" t="s">
        <v>36</v>
      </c>
      <c r="B801" s="2">
        <v>45536</v>
      </c>
      <c r="C801" s="2">
        <v>45505</v>
      </c>
      <c r="D801" s="2">
        <v>45617</v>
      </c>
      <c r="E801">
        <v>12540565</v>
      </c>
      <c r="F801">
        <v>12355282</v>
      </c>
      <c r="G801">
        <v>-185283</v>
      </c>
      <c r="H801">
        <v>83.6</v>
      </c>
      <c r="I801">
        <v>60000</v>
      </c>
      <c r="J801" t="s">
        <v>29</v>
      </c>
      <c r="K801">
        <v>2.79</v>
      </c>
      <c r="L801">
        <v>2.85</v>
      </c>
      <c r="M801">
        <v>6112285</v>
      </c>
      <c r="N801">
        <v>6101622</v>
      </c>
      <c r="O801">
        <v>0</v>
      </c>
      <c r="P801">
        <v>0</v>
      </c>
      <c r="Q801">
        <v>277240</v>
      </c>
      <c r="R801">
        <v>270706</v>
      </c>
      <c r="S801">
        <v>895434</v>
      </c>
      <c r="T801">
        <v>918356</v>
      </c>
      <c r="U801">
        <v>0</v>
      </c>
      <c r="V801">
        <v>0</v>
      </c>
      <c r="W801">
        <v>0</v>
      </c>
      <c r="X801">
        <v>0</v>
      </c>
      <c r="Y801">
        <v>5255606</v>
      </c>
      <c r="Z801">
        <v>5064598</v>
      </c>
      <c r="AA801">
        <f t="shared" si="25"/>
        <v>-6534</v>
      </c>
      <c r="AB801">
        <f t="shared" si="24"/>
        <v>-2.3568027701630356</v>
      </c>
    </row>
    <row r="802" spans="1:28">
      <c r="A802" t="s">
        <v>37</v>
      </c>
      <c r="B802" s="2">
        <v>45536</v>
      </c>
      <c r="C802" s="2">
        <v>45505</v>
      </c>
      <c r="D802" s="2">
        <v>45617</v>
      </c>
      <c r="E802">
        <v>67391810</v>
      </c>
      <c r="F802">
        <v>66987008</v>
      </c>
      <c r="G802">
        <v>-404802</v>
      </c>
      <c r="H802">
        <v>77.88</v>
      </c>
      <c r="I802">
        <v>570000</v>
      </c>
      <c r="J802" t="s">
        <v>29</v>
      </c>
      <c r="K802">
        <v>69.67</v>
      </c>
      <c r="L802">
        <v>70.239999999999995</v>
      </c>
      <c r="M802">
        <v>32236966</v>
      </c>
      <c r="N802">
        <v>32032297</v>
      </c>
      <c r="O802">
        <v>0</v>
      </c>
      <c r="P802">
        <v>0</v>
      </c>
      <c r="Q802">
        <v>6344325</v>
      </c>
      <c r="R802">
        <v>6398356</v>
      </c>
      <c r="S802">
        <v>4511626</v>
      </c>
      <c r="T802">
        <v>4505377</v>
      </c>
      <c r="U802">
        <v>0</v>
      </c>
      <c r="V802">
        <v>0</v>
      </c>
      <c r="W802">
        <v>0</v>
      </c>
      <c r="X802">
        <v>0</v>
      </c>
      <c r="Y802">
        <v>24298893</v>
      </c>
      <c r="Z802">
        <v>24050978</v>
      </c>
      <c r="AA802">
        <f t="shared" si="25"/>
        <v>54031</v>
      </c>
      <c r="AB802">
        <f t="shared" si="24"/>
        <v>0.85164300378684876</v>
      </c>
    </row>
    <row r="803" spans="1:28">
      <c r="A803" t="s">
        <v>38</v>
      </c>
      <c r="B803" s="2">
        <v>45536</v>
      </c>
      <c r="C803" s="2">
        <v>45505</v>
      </c>
      <c r="D803" s="2">
        <v>45617</v>
      </c>
      <c r="E803">
        <v>41717199</v>
      </c>
      <c r="F803">
        <v>41488557</v>
      </c>
      <c r="G803">
        <v>-228642</v>
      </c>
      <c r="H803">
        <v>94.01</v>
      </c>
      <c r="I803">
        <v>250000</v>
      </c>
      <c r="J803" t="s">
        <v>29</v>
      </c>
      <c r="K803">
        <v>24.63</v>
      </c>
      <c r="L803">
        <v>24.88</v>
      </c>
      <c r="M803">
        <v>8761014</v>
      </c>
      <c r="N803">
        <v>8765522</v>
      </c>
      <c r="O803">
        <v>0</v>
      </c>
      <c r="P803">
        <v>0</v>
      </c>
      <c r="Q803">
        <v>13303055</v>
      </c>
      <c r="R803">
        <v>13240071</v>
      </c>
      <c r="S803">
        <v>8678415</v>
      </c>
      <c r="T803">
        <v>8705813</v>
      </c>
      <c r="U803">
        <v>0</v>
      </c>
      <c r="V803">
        <v>0</v>
      </c>
      <c r="W803">
        <v>0</v>
      </c>
      <c r="X803">
        <v>0</v>
      </c>
      <c r="Y803">
        <v>10974715</v>
      </c>
      <c r="Z803">
        <v>10777151</v>
      </c>
      <c r="AA803">
        <f t="shared" si="25"/>
        <v>-62984</v>
      </c>
      <c r="AB803">
        <f t="shared" si="24"/>
        <v>-0.47345515748074413</v>
      </c>
    </row>
    <row r="804" spans="1:28">
      <c r="A804" t="s">
        <v>39</v>
      </c>
      <c r="B804" s="2">
        <v>45536</v>
      </c>
      <c r="C804" s="2">
        <v>45505</v>
      </c>
      <c r="D804" s="2">
        <v>45617</v>
      </c>
      <c r="E804">
        <v>23228046</v>
      </c>
      <c r="F804">
        <v>22766144</v>
      </c>
      <c r="G804">
        <v>-461902</v>
      </c>
      <c r="H804">
        <v>87.49</v>
      </c>
      <c r="I804">
        <v>200000</v>
      </c>
      <c r="J804" t="s">
        <v>29</v>
      </c>
      <c r="K804">
        <v>18.86</v>
      </c>
      <c r="L804">
        <v>19.059999999999999</v>
      </c>
      <c r="M804">
        <v>5538557</v>
      </c>
      <c r="N804">
        <v>5446548</v>
      </c>
      <c r="O804">
        <v>0</v>
      </c>
      <c r="P804">
        <v>0</v>
      </c>
      <c r="Q804">
        <v>5161501</v>
      </c>
      <c r="R804">
        <v>5124382</v>
      </c>
      <c r="S804">
        <v>1615508</v>
      </c>
      <c r="T804">
        <v>1520952</v>
      </c>
      <c r="U804">
        <v>0</v>
      </c>
      <c r="V804">
        <v>0</v>
      </c>
      <c r="W804">
        <v>0</v>
      </c>
      <c r="X804">
        <v>0</v>
      </c>
      <c r="Y804">
        <v>10912480</v>
      </c>
      <c r="Z804">
        <v>10674262</v>
      </c>
      <c r="AA804">
        <f t="shared" si="25"/>
        <v>-37119</v>
      </c>
      <c r="AB804">
        <f t="shared" si="24"/>
        <v>-0.71915127014409186</v>
      </c>
    </row>
    <row r="805" spans="1:28">
      <c r="A805" t="s">
        <v>40</v>
      </c>
      <c r="B805" s="2">
        <v>45536</v>
      </c>
      <c r="C805" s="2">
        <v>45505</v>
      </c>
      <c r="D805" s="2">
        <v>45617</v>
      </c>
      <c r="E805">
        <v>80331937</v>
      </c>
      <c r="F805">
        <v>80136193</v>
      </c>
      <c r="G805">
        <v>-195744</v>
      </c>
      <c r="H805">
        <v>81.55</v>
      </c>
      <c r="I805">
        <v>1210000</v>
      </c>
      <c r="J805" t="s">
        <v>29</v>
      </c>
      <c r="K805">
        <v>79.849999999999994</v>
      </c>
      <c r="L805">
        <v>81.06</v>
      </c>
      <c r="M805">
        <v>16223521</v>
      </c>
      <c r="N805">
        <v>16194135</v>
      </c>
      <c r="O805">
        <v>0</v>
      </c>
      <c r="P805">
        <v>0</v>
      </c>
      <c r="Q805">
        <v>15025854</v>
      </c>
      <c r="R805">
        <v>14826930</v>
      </c>
      <c r="S805">
        <v>5028617</v>
      </c>
      <c r="T805">
        <v>5103966</v>
      </c>
      <c r="U805">
        <v>0</v>
      </c>
      <c r="V805">
        <v>0</v>
      </c>
      <c r="W805">
        <v>0</v>
      </c>
      <c r="X805">
        <v>0</v>
      </c>
      <c r="Y805">
        <v>44053945</v>
      </c>
      <c r="Z805">
        <v>44011162</v>
      </c>
      <c r="AA805">
        <f t="shared" si="25"/>
        <v>-198924</v>
      </c>
      <c r="AB805">
        <f t="shared" si="24"/>
        <v>-1.3238781635972239</v>
      </c>
    </row>
    <row r="806" spans="1:28">
      <c r="A806" t="s">
        <v>41</v>
      </c>
      <c r="B806" s="2">
        <v>45536</v>
      </c>
      <c r="C806" s="2">
        <v>45505</v>
      </c>
      <c r="D806" s="2">
        <v>45617</v>
      </c>
      <c r="E806">
        <v>92372377</v>
      </c>
      <c r="F806">
        <v>91882945</v>
      </c>
      <c r="G806">
        <v>-489432</v>
      </c>
      <c r="H806">
        <v>91.22</v>
      </c>
      <c r="I806">
        <v>980000</v>
      </c>
      <c r="J806" t="s">
        <v>29</v>
      </c>
      <c r="K806">
        <v>83.95</v>
      </c>
      <c r="L806">
        <v>84.93</v>
      </c>
      <c r="M806">
        <v>22213479</v>
      </c>
      <c r="N806">
        <v>22167747</v>
      </c>
      <c r="O806">
        <v>0</v>
      </c>
      <c r="P806">
        <v>0</v>
      </c>
      <c r="Q806">
        <v>21603100</v>
      </c>
      <c r="R806">
        <v>21454681</v>
      </c>
      <c r="S806">
        <v>5643171</v>
      </c>
      <c r="T806">
        <v>5755259</v>
      </c>
      <c r="U806">
        <v>0</v>
      </c>
      <c r="V806">
        <v>0</v>
      </c>
      <c r="W806">
        <v>0</v>
      </c>
      <c r="X806">
        <v>0</v>
      </c>
      <c r="Y806">
        <v>42912627</v>
      </c>
      <c r="Z806">
        <v>42505258</v>
      </c>
      <c r="AA806">
        <f t="shared" si="25"/>
        <v>-148419</v>
      </c>
      <c r="AB806">
        <f t="shared" si="24"/>
        <v>-0.68702639898903395</v>
      </c>
    </row>
    <row r="807" spans="1:28">
      <c r="A807" t="s">
        <v>42</v>
      </c>
      <c r="B807" s="2">
        <v>45536</v>
      </c>
      <c r="C807" s="2">
        <v>45505</v>
      </c>
      <c r="D807" s="2">
        <v>45617</v>
      </c>
      <c r="E807">
        <v>33993745</v>
      </c>
      <c r="F807">
        <v>33787407</v>
      </c>
      <c r="G807">
        <v>-206338</v>
      </c>
      <c r="H807">
        <v>72.17</v>
      </c>
      <c r="I807">
        <v>260000</v>
      </c>
      <c r="J807" t="s">
        <v>29</v>
      </c>
      <c r="K807">
        <v>34.35</v>
      </c>
      <c r="L807">
        <v>34.61</v>
      </c>
      <c r="M807">
        <v>10081363</v>
      </c>
      <c r="N807">
        <v>10037605</v>
      </c>
      <c r="O807">
        <v>0</v>
      </c>
      <c r="P807">
        <v>0</v>
      </c>
      <c r="Q807">
        <v>10700024</v>
      </c>
      <c r="R807">
        <v>10719976</v>
      </c>
      <c r="S807">
        <v>0</v>
      </c>
      <c r="T807">
        <v>0</v>
      </c>
      <c r="U807">
        <v>0</v>
      </c>
      <c r="V807">
        <v>0</v>
      </c>
      <c r="W807">
        <v>224744</v>
      </c>
      <c r="X807">
        <v>222576</v>
      </c>
      <c r="Y807">
        <v>12987614</v>
      </c>
      <c r="Z807">
        <v>12807250</v>
      </c>
      <c r="AA807">
        <f t="shared" si="25"/>
        <v>19952</v>
      </c>
      <c r="AB807">
        <f t="shared" si="24"/>
        <v>0.18646687147617613</v>
      </c>
    </row>
    <row r="808" spans="1:28">
      <c r="A808" t="s">
        <v>43</v>
      </c>
      <c r="B808" s="2">
        <v>45536</v>
      </c>
      <c r="C808" s="2">
        <v>45505</v>
      </c>
      <c r="D808" s="2">
        <v>45617</v>
      </c>
      <c r="E808">
        <v>12598385</v>
      </c>
      <c r="F808">
        <v>12411381</v>
      </c>
      <c r="G808">
        <v>-187004</v>
      </c>
      <c r="H808">
        <v>94.73</v>
      </c>
      <c r="I808">
        <v>30000</v>
      </c>
      <c r="J808" t="s">
        <v>29</v>
      </c>
      <c r="K808">
        <v>2.37</v>
      </c>
      <c r="L808">
        <v>2.4</v>
      </c>
      <c r="M808">
        <v>6237710</v>
      </c>
      <c r="N808">
        <v>6220020</v>
      </c>
      <c r="O808">
        <v>0</v>
      </c>
      <c r="P808">
        <v>0</v>
      </c>
      <c r="Q808">
        <v>693923</v>
      </c>
      <c r="R808">
        <v>686784</v>
      </c>
      <c r="S808">
        <v>1284846</v>
      </c>
      <c r="T808">
        <v>1288485</v>
      </c>
      <c r="U808">
        <v>0</v>
      </c>
      <c r="V808">
        <v>0</v>
      </c>
      <c r="W808">
        <v>0</v>
      </c>
      <c r="X808">
        <v>0</v>
      </c>
      <c r="Y808">
        <v>4381906</v>
      </c>
      <c r="Z808">
        <v>4216092</v>
      </c>
      <c r="AA808">
        <f t="shared" si="25"/>
        <v>-7139</v>
      </c>
      <c r="AB808">
        <f t="shared" si="24"/>
        <v>-1.0287884967064069</v>
      </c>
    </row>
    <row r="809" spans="1:28">
      <c r="A809" t="s">
        <v>44</v>
      </c>
      <c r="B809" s="2">
        <v>45536</v>
      </c>
      <c r="C809" s="2">
        <v>45505</v>
      </c>
      <c r="D809" s="2">
        <v>45617</v>
      </c>
      <c r="E809">
        <v>33947163</v>
      </c>
      <c r="F809">
        <v>34080626</v>
      </c>
      <c r="G809">
        <v>133463</v>
      </c>
      <c r="H809">
        <v>90.8</v>
      </c>
      <c r="I809">
        <v>210000</v>
      </c>
      <c r="J809" t="s">
        <v>29</v>
      </c>
      <c r="K809">
        <v>18.05</v>
      </c>
      <c r="L809">
        <v>18.260000000000002</v>
      </c>
      <c r="M809">
        <v>11482170</v>
      </c>
      <c r="N809">
        <v>11713511</v>
      </c>
      <c r="O809">
        <v>0</v>
      </c>
      <c r="P809">
        <v>0</v>
      </c>
      <c r="Q809">
        <v>1404314</v>
      </c>
      <c r="R809">
        <v>1405342</v>
      </c>
      <c r="S809">
        <v>5452811</v>
      </c>
      <c r="T809">
        <v>5514987</v>
      </c>
      <c r="U809">
        <v>0</v>
      </c>
      <c r="V809">
        <v>0</v>
      </c>
      <c r="W809">
        <v>0</v>
      </c>
      <c r="X809">
        <v>0</v>
      </c>
      <c r="Y809">
        <v>15607868</v>
      </c>
      <c r="Z809">
        <v>15446786</v>
      </c>
      <c r="AA809">
        <f t="shared" si="25"/>
        <v>1028</v>
      </c>
      <c r="AB809">
        <f t="shared" si="24"/>
        <v>7.320300160790251E-2</v>
      </c>
    </row>
    <row r="810" spans="1:28">
      <c r="A810" t="s">
        <v>45</v>
      </c>
      <c r="B810" s="2">
        <v>45536</v>
      </c>
      <c r="C810" s="2">
        <v>45505</v>
      </c>
      <c r="D810" s="2">
        <v>45617</v>
      </c>
      <c r="E810">
        <v>34955683</v>
      </c>
      <c r="F810">
        <v>34212158</v>
      </c>
      <c r="G810">
        <v>-743525</v>
      </c>
      <c r="H810">
        <v>91.85</v>
      </c>
      <c r="I810">
        <v>360000</v>
      </c>
      <c r="J810" t="s">
        <v>29</v>
      </c>
      <c r="K810">
        <v>34.03</v>
      </c>
      <c r="L810">
        <v>34.39</v>
      </c>
      <c r="M810">
        <v>12418200</v>
      </c>
      <c r="N810">
        <v>12343209</v>
      </c>
      <c r="O810">
        <v>0</v>
      </c>
      <c r="P810">
        <v>0</v>
      </c>
      <c r="Q810">
        <v>6317007</v>
      </c>
      <c r="R810">
        <v>6266553</v>
      </c>
      <c r="S810">
        <v>4088583</v>
      </c>
      <c r="T810">
        <v>4149718</v>
      </c>
      <c r="U810">
        <v>0</v>
      </c>
      <c r="V810">
        <v>0</v>
      </c>
      <c r="W810">
        <v>0</v>
      </c>
      <c r="X810">
        <v>0</v>
      </c>
      <c r="Y810">
        <v>12131893</v>
      </c>
      <c r="Z810">
        <v>11452678</v>
      </c>
      <c r="AA810">
        <f t="shared" si="25"/>
        <v>-50454</v>
      </c>
      <c r="AB810">
        <f t="shared" si="24"/>
        <v>-0.79870103040886287</v>
      </c>
    </row>
    <row r="811" spans="1:28">
      <c r="A811" t="s">
        <v>46</v>
      </c>
      <c r="B811" s="2">
        <v>45536</v>
      </c>
      <c r="C811" s="2">
        <v>45505</v>
      </c>
      <c r="D811" s="2">
        <v>45617</v>
      </c>
      <c r="E811">
        <v>65848260</v>
      </c>
      <c r="F811">
        <v>64765716</v>
      </c>
      <c r="G811">
        <v>-1082544</v>
      </c>
      <c r="H811">
        <v>87.42</v>
      </c>
      <c r="I811">
        <v>740000</v>
      </c>
      <c r="J811" t="s">
        <v>29</v>
      </c>
      <c r="K811">
        <v>69.75</v>
      </c>
      <c r="L811">
        <v>70.489999999999995</v>
      </c>
      <c r="M811">
        <v>23140674</v>
      </c>
      <c r="N811">
        <v>23013606</v>
      </c>
      <c r="O811">
        <v>0</v>
      </c>
      <c r="P811">
        <v>0</v>
      </c>
      <c r="Q811">
        <v>10025018</v>
      </c>
      <c r="R811">
        <v>9785029</v>
      </c>
      <c r="S811">
        <v>5589613</v>
      </c>
      <c r="T811">
        <v>5607144</v>
      </c>
      <c r="U811">
        <v>0</v>
      </c>
      <c r="V811">
        <v>0</v>
      </c>
      <c r="W811">
        <v>0</v>
      </c>
      <c r="X811">
        <v>0</v>
      </c>
      <c r="Y811">
        <v>27092955</v>
      </c>
      <c r="Z811">
        <v>26359937</v>
      </c>
      <c r="AA811">
        <f t="shared" si="25"/>
        <v>-239989</v>
      </c>
      <c r="AB811">
        <f t="shared" si="24"/>
        <v>-2.3939009386317314</v>
      </c>
    </row>
    <row r="812" spans="1:28">
      <c r="A812" t="s">
        <v>47</v>
      </c>
      <c r="B812" s="2">
        <v>45536</v>
      </c>
      <c r="C812" s="2">
        <v>45505</v>
      </c>
      <c r="D812" s="2">
        <v>45617</v>
      </c>
      <c r="E812">
        <v>78304480</v>
      </c>
      <c r="F812">
        <v>77784673</v>
      </c>
      <c r="G812">
        <v>-519807</v>
      </c>
      <c r="H812">
        <v>89.47</v>
      </c>
      <c r="I812">
        <v>600000</v>
      </c>
      <c r="J812" t="s">
        <v>29</v>
      </c>
      <c r="K812">
        <v>65.11</v>
      </c>
      <c r="L812">
        <v>65.709999999999994</v>
      </c>
      <c r="M812">
        <v>29795754</v>
      </c>
      <c r="N812">
        <v>29721923</v>
      </c>
      <c r="O812">
        <v>0</v>
      </c>
      <c r="P812">
        <v>0</v>
      </c>
      <c r="Q812">
        <v>15229938</v>
      </c>
      <c r="R812">
        <v>15145802</v>
      </c>
      <c r="S812">
        <v>7734172</v>
      </c>
      <c r="T812">
        <v>7823388</v>
      </c>
      <c r="U812">
        <v>204460</v>
      </c>
      <c r="V812">
        <v>204747</v>
      </c>
      <c r="W812">
        <v>0</v>
      </c>
      <c r="X812">
        <v>0</v>
      </c>
      <c r="Y812">
        <v>25340156</v>
      </c>
      <c r="Z812">
        <v>24888813</v>
      </c>
      <c r="AA812">
        <f t="shared" si="25"/>
        <v>-84136</v>
      </c>
      <c r="AB812">
        <f t="shared" si="24"/>
        <v>-0.55243823054302643</v>
      </c>
    </row>
    <row r="813" spans="1:28">
      <c r="A813" t="s">
        <v>48</v>
      </c>
      <c r="B813" s="2">
        <v>45536</v>
      </c>
      <c r="C813" s="2">
        <v>45505</v>
      </c>
      <c r="D813" s="2">
        <v>45617</v>
      </c>
      <c r="E813">
        <v>101903377</v>
      </c>
      <c r="F813">
        <v>101293331</v>
      </c>
      <c r="G813">
        <v>-610046</v>
      </c>
      <c r="H813">
        <v>83.97</v>
      </c>
      <c r="I813">
        <v>1830000</v>
      </c>
      <c r="J813" t="s">
        <v>29</v>
      </c>
      <c r="K813">
        <v>98.73</v>
      </c>
      <c r="L813">
        <v>100.56</v>
      </c>
      <c r="M813">
        <v>36548722</v>
      </c>
      <c r="N813">
        <v>36304870</v>
      </c>
      <c r="O813">
        <v>0</v>
      </c>
      <c r="P813">
        <v>0</v>
      </c>
      <c r="Q813">
        <v>16641443</v>
      </c>
      <c r="R813">
        <v>16517501</v>
      </c>
      <c r="S813">
        <v>8223052</v>
      </c>
      <c r="T813">
        <v>8297577</v>
      </c>
      <c r="U813">
        <v>0</v>
      </c>
      <c r="V813">
        <v>0</v>
      </c>
      <c r="W813">
        <v>0</v>
      </c>
      <c r="X813">
        <v>0</v>
      </c>
      <c r="Y813">
        <v>40490160</v>
      </c>
      <c r="Z813">
        <v>40173383</v>
      </c>
      <c r="AA813">
        <f t="shared" si="25"/>
        <v>-123942</v>
      </c>
      <c r="AB813">
        <f t="shared" si="24"/>
        <v>-0.74477916368189945</v>
      </c>
    </row>
    <row r="814" spans="1:28">
      <c r="A814" t="s">
        <v>49</v>
      </c>
      <c r="B814" s="2">
        <v>45536</v>
      </c>
      <c r="C814" s="2">
        <v>45505</v>
      </c>
      <c r="D814" s="2">
        <v>45617</v>
      </c>
      <c r="E814">
        <v>63580202</v>
      </c>
      <c r="F814">
        <v>62872320</v>
      </c>
      <c r="G814">
        <v>-707882</v>
      </c>
      <c r="H814">
        <v>85.07</v>
      </c>
      <c r="I814">
        <v>1240000</v>
      </c>
      <c r="J814" t="s">
        <v>29</v>
      </c>
      <c r="K814">
        <v>74.83</v>
      </c>
      <c r="L814">
        <v>76.069999999999993</v>
      </c>
      <c r="M814">
        <v>18822073</v>
      </c>
      <c r="N814">
        <v>18783592</v>
      </c>
      <c r="O814">
        <v>0</v>
      </c>
      <c r="P814">
        <v>0</v>
      </c>
      <c r="Q814">
        <v>15186440</v>
      </c>
      <c r="R814">
        <v>14998895</v>
      </c>
      <c r="S814">
        <v>5140253</v>
      </c>
      <c r="T814">
        <v>5286252</v>
      </c>
      <c r="U814">
        <v>0</v>
      </c>
      <c r="V814">
        <v>0</v>
      </c>
      <c r="W814">
        <v>0</v>
      </c>
      <c r="X814">
        <v>0</v>
      </c>
      <c r="Y814">
        <v>24431436</v>
      </c>
      <c r="Z814">
        <v>23803581</v>
      </c>
      <c r="AA814">
        <f t="shared" si="25"/>
        <v>-187545</v>
      </c>
      <c r="AB814">
        <f t="shared" si="24"/>
        <v>-1.2349503899531424</v>
      </c>
    </row>
    <row r="815" spans="1:28">
      <c r="A815" t="s">
        <v>50</v>
      </c>
      <c r="B815" s="2">
        <v>45536</v>
      </c>
      <c r="C815" s="2">
        <v>45505</v>
      </c>
      <c r="D815" s="2">
        <v>45617</v>
      </c>
      <c r="E815">
        <v>57781877</v>
      </c>
      <c r="F815">
        <v>57069110</v>
      </c>
      <c r="G815">
        <v>-712767</v>
      </c>
      <c r="H815">
        <v>86.14</v>
      </c>
      <c r="I815">
        <v>980000</v>
      </c>
      <c r="J815" t="s">
        <v>29</v>
      </c>
      <c r="K815">
        <v>59.68</v>
      </c>
      <c r="L815">
        <v>60.66</v>
      </c>
      <c r="M815">
        <v>18109835</v>
      </c>
      <c r="N815">
        <v>18025740</v>
      </c>
      <c r="O815">
        <v>0</v>
      </c>
      <c r="P815">
        <v>0</v>
      </c>
      <c r="Q815">
        <v>12580449</v>
      </c>
      <c r="R815">
        <v>12465704</v>
      </c>
      <c r="S815">
        <v>2590529</v>
      </c>
      <c r="T815">
        <v>2681800</v>
      </c>
      <c r="U815">
        <v>0</v>
      </c>
      <c r="V815">
        <v>0</v>
      </c>
      <c r="W815">
        <v>0</v>
      </c>
      <c r="X815">
        <v>0</v>
      </c>
      <c r="Y815">
        <v>24501064</v>
      </c>
      <c r="Z815">
        <v>23895866</v>
      </c>
      <c r="AA815">
        <f t="shared" si="25"/>
        <v>-114745</v>
      </c>
      <c r="AB815">
        <f t="shared" si="24"/>
        <v>-0.91208986261142178</v>
      </c>
    </row>
    <row r="816" spans="1:28">
      <c r="A816" t="s">
        <v>28</v>
      </c>
      <c r="B816" s="2">
        <v>45566</v>
      </c>
      <c r="C816" s="2">
        <v>45536</v>
      </c>
      <c r="D816" s="2">
        <v>45649</v>
      </c>
      <c r="E816">
        <v>82607381</v>
      </c>
      <c r="F816">
        <v>82354331</v>
      </c>
      <c r="G816">
        <v>-253050</v>
      </c>
      <c r="H816">
        <v>89.65</v>
      </c>
      <c r="I816">
        <v>670000</v>
      </c>
      <c r="J816" t="s">
        <v>29</v>
      </c>
      <c r="K816">
        <v>68.86</v>
      </c>
      <c r="L816">
        <v>69.53</v>
      </c>
      <c r="M816">
        <v>33608237</v>
      </c>
      <c r="N816">
        <v>33741507</v>
      </c>
      <c r="O816">
        <v>0</v>
      </c>
      <c r="P816">
        <v>0</v>
      </c>
      <c r="Q816">
        <v>10317179</v>
      </c>
      <c r="R816">
        <v>10223247</v>
      </c>
      <c r="S816">
        <v>6748163</v>
      </c>
      <c r="T816">
        <v>6747075</v>
      </c>
      <c r="U816">
        <v>0</v>
      </c>
      <c r="V816">
        <v>0</v>
      </c>
      <c r="W816">
        <v>0</v>
      </c>
      <c r="X816">
        <v>0</v>
      </c>
      <c r="Y816">
        <v>31933802</v>
      </c>
      <c r="Z816">
        <v>31642502</v>
      </c>
      <c r="AA816">
        <f t="shared" si="25"/>
        <v>-93932</v>
      </c>
      <c r="AB816">
        <f t="shared" si="24"/>
        <v>-0.91044267042376603</v>
      </c>
    </row>
    <row r="817" spans="1:28">
      <c r="A817" t="s">
        <v>30</v>
      </c>
      <c r="B817" s="2">
        <v>45566</v>
      </c>
      <c r="C817" s="2">
        <v>45536</v>
      </c>
      <c r="D817" s="2">
        <v>45649</v>
      </c>
      <c r="E817">
        <v>25985382</v>
      </c>
      <c r="F817">
        <v>26050878</v>
      </c>
      <c r="G817">
        <v>65496</v>
      </c>
      <c r="H817">
        <v>91.16</v>
      </c>
      <c r="I817">
        <v>100000</v>
      </c>
      <c r="J817" t="s">
        <v>29</v>
      </c>
      <c r="K817">
        <v>7.58</v>
      </c>
      <c r="L817">
        <v>7.68</v>
      </c>
      <c r="M817">
        <v>11754115</v>
      </c>
      <c r="N817">
        <v>11890497</v>
      </c>
      <c r="O817">
        <v>0</v>
      </c>
      <c r="P817">
        <v>0</v>
      </c>
      <c r="Q817">
        <v>1471300</v>
      </c>
      <c r="R817">
        <v>1465211</v>
      </c>
      <c r="S817">
        <v>2963211</v>
      </c>
      <c r="T817">
        <v>2984559</v>
      </c>
      <c r="U817">
        <v>0</v>
      </c>
      <c r="V817">
        <v>0</v>
      </c>
      <c r="W817">
        <v>0</v>
      </c>
      <c r="X817">
        <v>0</v>
      </c>
      <c r="Y817">
        <v>9796756</v>
      </c>
      <c r="Z817">
        <v>9710611</v>
      </c>
      <c r="AA817">
        <f t="shared" si="25"/>
        <v>-6089</v>
      </c>
      <c r="AB817">
        <f t="shared" si="24"/>
        <v>-0.41385169577924286</v>
      </c>
    </row>
    <row r="818" spans="1:28">
      <c r="A818" t="s">
        <v>31</v>
      </c>
      <c r="B818" s="2">
        <v>45566</v>
      </c>
      <c r="C818" s="2">
        <v>45536</v>
      </c>
      <c r="D818" s="2">
        <v>45649</v>
      </c>
      <c r="E818">
        <v>94648713</v>
      </c>
      <c r="F818">
        <v>94433782</v>
      </c>
      <c r="G818">
        <v>-214931</v>
      </c>
      <c r="H818">
        <v>81.790000000000006</v>
      </c>
      <c r="I818">
        <v>1050000</v>
      </c>
      <c r="J818" t="s">
        <v>29</v>
      </c>
      <c r="K818">
        <v>58.83</v>
      </c>
      <c r="L818">
        <v>59.88</v>
      </c>
      <c r="M818">
        <v>40272539</v>
      </c>
      <c r="N818">
        <v>40526286</v>
      </c>
      <c r="O818">
        <v>0</v>
      </c>
      <c r="P818">
        <v>0</v>
      </c>
      <c r="Q818">
        <v>7521467</v>
      </c>
      <c r="R818">
        <v>7493956</v>
      </c>
      <c r="S818">
        <v>6022905</v>
      </c>
      <c r="T818">
        <v>6049430</v>
      </c>
      <c r="U818">
        <v>0</v>
      </c>
      <c r="V818">
        <v>0</v>
      </c>
      <c r="W818">
        <v>0</v>
      </c>
      <c r="X818">
        <v>0</v>
      </c>
      <c r="Y818">
        <v>40831802</v>
      </c>
      <c r="Z818">
        <v>40364110</v>
      </c>
      <c r="AA818">
        <f t="shared" si="25"/>
        <v>-27511</v>
      </c>
      <c r="AB818">
        <f t="shared" si="24"/>
        <v>-0.36576641232355339</v>
      </c>
    </row>
    <row r="819" spans="1:28">
      <c r="A819" t="s">
        <v>32</v>
      </c>
      <c r="B819" s="2">
        <v>45566</v>
      </c>
      <c r="C819" s="2">
        <v>45536</v>
      </c>
      <c r="D819" s="2">
        <v>45649</v>
      </c>
      <c r="E819">
        <v>56516420</v>
      </c>
      <c r="F819">
        <v>56476114</v>
      </c>
      <c r="G819">
        <v>-40306</v>
      </c>
      <c r="H819">
        <v>55.69</v>
      </c>
      <c r="I819">
        <v>600000</v>
      </c>
      <c r="J819" t="s">
        <v>29</v>
      </c>
      <c r="K819">
        <v>49.68</v>
      </c>
      <c r="L819">
        <v>50.28</v>
      </c>
      <c r="M819">
        <v>18343793</v>
      </c>
      <c r="N819">
        <v>18407951</v>
      </c>
      <c r="O819">
        <v>0</v>
      </c>
      <c r="P819">
        <v>0</v>
      </c>
      <c r="Q819">
        <v>16744837</v>
      </c>
      <c r="R819">
        <v>16774937</v>
      </c>
      <c r="S819">
        <v>0</v>
      </c>
      <c r="T819">
        <v>0</v>
      </c>
      <c r="U819">
        <v>0</v>
      </c>
      <c r="V819">
        <v>0</v>
      </c>
      <c r="W819">
        <v>1684335</v>
      </c>
      <c r="X819">
        <v>1684424</v>
      </c>
      <c r="Y819">
        <v>19743455</v>
      </c>
      <c r="Z819">
        <v>19608802</v>
      </c>
      <c r="AA819">
        <f t="shared" si="25"/>
        <v>30100</v>
      </c>
      <c r="AB819">
        <f t="shared" si="24"/>
        <v>0.17975690058971611</v>
      </c>
    </row>
    <row r="820" spans="1:28">
      <c r="A820" t="s">
        <v>33</v>
      </c>
      <c r="B820" s="2">
        <v>45566</v>
      </c>
      <c r="C820" s="2">
        <v>45536</v>
      </c>
      <c r="D820" s="2">
        <v>45649</v>
      </c>
      <c r="E820">
        <v>65089562</v>
      </c>
      <c r="F820">
        <v>65159339</v>
      </c>
      <c r="G820">
        <v>69777</v>
      </c>
      <c r="H820">
        <v>90.96</v>
      </c>
      <c r="I820">
        <v>930000</v>
      </c>
      <c r="J820" t="s">
        <v>29</v>
      </c>
      <c r="K820">
        <v>70.73</v>
      </c>
      <c r="L820">
        <v>71.66</v>
      </c>
      <c r="M820">
        <v>12046106</v>
      </c>
      <c r="N820">
        <v>12183652</v>
      </c>
      <c r="O820">
        <v>0</v>
      </c>
      <c r="P820">
        <v>0</v>
      </c>
      <c r="Q820">
        <v>20108619</v>
      </c>
      <c r="R820">
        <v>19965032</v>
      </c>
      <c r="S820">
        <v>3262611</v>
      </c>
      <c r="T820">
        <v>3321146</v>
      </c>
      <c r="U820">
        <v>0</v>
      </c>
      <c r="V820">
        <v>0</v>
      </c>
      <c r="W820">
        <v>0</v>
      </c>
      <c r="X820">
        <v>0</v>
      </c>
      <c r="Y820">
        <v>29672226</v>
      </c>
      <c r="Z820">
        <v>29689509</v>
      </c>
      <c r="AA820">
        <f t="shared" si="25"/>
        <v>-143587</v>
      </c>
      <c r="AB820">
        <f t="shared" si="24"/>
        <v>-0.71405699217832919</v>
      </c>
    </row>
    <row r="821" spans="1:28">
      <c r="A821" t="s">
        <v>34</v>
      </c>
      <c r="B821" s="2">
        <v>45566</v>
      </c>
      <c r="C821" s="2">
        <v>45536</v>
      </c>
      <c r="D821" s="2">
        <v>45649</v>
      </c>
      <c r="E821">
        <v>26148729</v>
      </c>
      <c r="F821">
        <v>26040526</v>
      </c>
      <c r="G821">
        <v>-108203</v>
      </c>
      <c r="H821">
        <v>91.26</v>
      </c>
      <c r="I821">
        <v>390000</v>
      </c>
      <c r="J821" t="s">
        <v>29</v>
      </c>
      <c r="K821">
        <v>32.83</v>
      </c>
      <c r="L821">
        <v>33.22</v>
      </c>
      <c r="M821">
        <v>7041795</v>
      </c>
      <c r="N821">
        <v>7099729</v>
      </c>
      <c r="O821">
        <v>0</v>
      </c>
      <c r="P821">
        <v>0</v>
      </c>
      <c r="Q821">
        <v>6599715</v>
      </c>
      <c r="R821">
        <v>6513780</v>
      </c>
      <c r="S821">
        <v>4090143</v>
      </c>
      <c r="T821">
        <v>4134037</v>
      </c>
      <c r="U821">
        <v>0</v>
      </c>
      <c r="V821">
        <v>0</v>
      </c>
      <c r="W821">
        <v>0</v>
      </c>
      <c r="X821">
        <v>0</v>
      </c>
      <c r="Y821">
        <v>8417076</v>
      </c>
      <c r="Z821">
        <v>8292980</v>
      </c>
      <c r="AA821">
        <f t="shared" si="25"/>
        <v>-85935</v>
      </c>
      <c r="AB821">
        <f t="shared" si="24"/>
        <v>-1.3021016816635265</v>
      </c>
    </row>
    <row r="822" spans="1:28">
      <c r="A822" t="s">
        <v>35</v>
      </c>
      <c r="B822" s="2">
        <v>45566</v>
      </c>
      <c r="C822" s="2">
        <v>45536</v>
      </c>
      <c r="D822" s="2">
        <v>45649</v>
      </c>
      <c r="E822">
        <v>8834777</v>
      </c>
      <c r="F822">
        <v>8796699</v>
      </c>
      <c r="G822">
        <v>-38078</v>
      </c>
      <c r="H822">
        <v>102.77</v>
      </c>
      <c r="I822">
        <v>40000</v>
      </c>
      <c r="J822" t="s">
        <v>29</v>
      </c>
      <c r="K822">
        <v>4.42</v>
      </c>
      <c r="L822">
        <v>4.46</v>
      </c>
      <c r="M822">
        <v>3543951</v>
      </c>
      <c r="N822">
        <v>3542799</v>
      </c>
      <c r="O822">
        <v>0</v>
      </c>
      <c r="P822">
        <v>0</v>
      </c>
      <c r="Q822">
        <v>384694</v>
      </c>
      <c r="R822">
        <v>381834</v>
      </c>
      <c r="S822">
        <v>1648951</v>
      </c>
      <c r="T822">
        <v>1649665</v>
      </c>
      <c r="U822">
        <v>0</v>
      </c>
      <c r="V822">
        <v>0</v>
      </c>
      <c r="W822">
        <v>0</v>
      </c>
      <c r="X822">
        <v>0</v>
      </c>
      <c r="Y822">
        <v>3257181</v>
      </c>
      <c r="Z822">
        <v>3222401</v>
      </c>
      <c r="AA822">
        <f t="shared" si="25"/>
        <v>-2860</v>
      </c>
      <c r="AB822">
        <f t="shared" si="24"/>
        <v>-0.74344803922078329</v>
      </c>
    </row>
    <row r="823" spans="1:28">
      <c r="A823" t="s">
        <v>36</v>
      </c>
      <c r="B823" s="2">
        <v>45566</v>
      </c>
      <c r="C823" s="2">
        <v>45536</v>
      </c>
      <c r="D823" s="2">
        <v>45649</v>
      </c>
      <c r="E823">
        <v>12355282</v>
      </c>
      <c r="F823">
        <v>12244383</v>
      </c>
      <c r="G823">
        <v>-110899</v>
      </c>
      <c r="H823">
        <v>83.92</v>
      </c>
      <c r="I823">
        <v>60000</v>
      </c>
      <c r="J823" t="s">
        <v>29</v>
      </c>
      <c r="K823">
        <v>2.85</v>
      </c>
      <c r="L823">
        <v>2.91</v>
      </c>
      <c r="M823">
        <v>6101622</v>
      </c>
      <c r="N823">
        <v>6101786</v>
      </c>
      <c r="O823">
        <v>0</v>
      </c>
      <c r="P823">
        <v>0</v>
      </c>
      <c r="Q823">
        <v>270706</v>
      </c>
      <c r="R823">
        <v>268400</v>
      </c>
      <c r="S823">
        <v>918356</v>
      </c>
      <c r="T823">
        <v>924203</v>
      </c>
      <c r="U823">
        <v>0</v>
      </c>
      <c r="V823">
        <v>0</v>
      </c>
      <c r="W823">
        <v>0</v>
      </c>
      <c r="X823">
        <v>0</v>
      </c>
      <c r="Y823">
        <v>5064598</v>
      </c>
      <c r="Z823">
        <v>4949994</v>
      </c>
      <c r="AA823">
        <f t="shared" si="25"/>
        <v>-2306</v>
      </c>
      <c r="AB823">
        <f t="shared" si="24"/>
        <v>-0.85184665282631333</v>
      </c>
    </row>
    <row r="824" spans="1:28">
      <c r="A824" t="s">
        <v>37</v>
      </c>
      <c r="B824" s="2">
        <v>45566</v>
      </c>
      <c r="C824" s="2">
        <v>45536</v>
      </c>
      <c r="D824" s="2">
        <v>45649</v>
      </c>
      <c r="E824">
        <v>66987008</v>
      </c>
      <c r="F824">
        <v>67171388</v>
      </c>
      <c r="G824">
        <v>184380</v>
      </c>
      <c r="H824">
        <v>76.989999999999995</v>
      </c>
      <c r="I824">
        <v>580000</v>
      </c>
      <c r="J824" t="s">
        <v>29</v>
      </c>
      <c r="K824">
        <v>70.239999999999995</v>
      </c>
      <c r="L824">
        <v>70.819999999999993</v>
      </c>
      <c r="M824">
        <v>32032297</v>
      </c>
      <c r="N824">
        <v>32164155</v>
      </c>
      <c r="O824">
        <v>0</v>
      </c>
      <c r="P824">
        <v>0</v>
      </c>
      <c r="Q824">
        <v>6398356</v>
      </c>
      <c r="R824">
        <v>6413163</v>
      </c>
      <c r="S824">
        <v>4505377</v>
      </c>
      <c r="T824">
        <v>4550894</v>
      </c>
      <c r="U824">
        <v>0</v>
      </c>
      <c r="V824">
        <v>0</v>
      </c>
      <c r="W824">
        <v>0</v>
      </c>
      <c r="X824">
        <v>0</v>
      </c>
      <c r="Y824">
        <v>24050978</v>
      </c>
      <c r="Z824">
        <v>24043176</v>
      </c>
      <c r="AA824">
        <f t="shared" si="25"/>
        <v>14807</v>
      </c>
      <c r="AB824">
        <f t="shared" si="24"/>
        <v>0.23141882070956979</v>
      </c>
    </row>
    <row r="825" spans="1:28">
      <c r="A825" t="s">
        <v>38</v>
      </c>
      <c r="B825" s="2">
        <v>45566</v>
      </c>
      <c r="C825" s="2">
        <v>45536</v>
      </c>
      <c r="D825" s="2">
        <v>45649</v>
      </c>
      <c r="E825">
        <v>41488557</v>
      </c>
      <c r="F825">
        <v>41350751</v>
      </c>
      <c r="G825">
        <v>-137806</v>
      </c>
      <c r="H825">
        <v>93.65</v>
      </c>
      <c r="I825">
        <v>270000</v>
      </c>
      <c r="J825" t="s">
        <v>29</v>
      </c>
      <c r="K825">
        <v>24.88</v>
      </c>
      <c r="L825">
        <v>25.15</v>
      </c>
      <c r="M825">
        <v>8765522</v>
      </c>
      <c r="N825">
        <v>8825708</v>
      </c>
      <c r="O825">
        <v>0</v>
      </c>
      <c r="P825">
        <v>0</v>
      </c>
      <c r="Q825">
        <v>13240071</v>
      </c>
      <c r="R825">
        <v>13137419</v>
      </c>
      <c r="S825">
        <v>8705813</v>
      </c>
      <c r="T825">
        <v>8703442</v>
      </c>
      <c r="U825">
        <v>0</v>
      </c>
      <c r="V825">
        <v>0</v>
      </c>
      <c r="W825">
        <v>0</v>
      </c>
      <c r="X825">
        <v>0</v>
      </c>
      <c r="Y825">
        <v>10777151</v>
      </c>
      <c r="Z825">
        <v>10684182</v>
      </c>
      <c r="AA825">
        <f t="shared" si="25"/>
        <v>-102652</v>
      </c>
      <c r="AB825">
        <f t="shared" si="24"/>
        <v>-0.77531306289822766</v>
      </c>
    </row>
    <row r="826" spans="1:28">
      <c r="A826" t="s">
        <v>39</v>
      </c>
      <c r="B826" s="2">
        <v>45566</v>
      </c>
      <c r="C826" s="2">
        <v>45536</v>
      </c>
      <c r="D826" s="2">
        <v>45649</v>
      </c>
      <c r="E826">
        <v>22766144</v>
      </c>
      <c r="F826">
        <v>22693859</v>
      </c>
      <c r="G826">
        <v>-72285</v>
      </c>
      <c r="H826">
        <v>88.32</v>
      </c>
      <c r="I826">
        <v>180000</v>
      </c>
      <c r="J826" t="s">
        <v>29</v>
      </c>
      <c r="K826">
        <v>19.059999999999999</v>
      </c>
      <c r="L826">
        <v>19.239999999999998</v>
      </c>
      <c r="M826">
        <v>5446548</v>
      </c>
      <c r="N826">
        <v>5469883</v>
      </c>
      <c r="O826">
        <v>0</v>
      </c>
      <c r="P826">
        <v>0</v>
      </c>
      <c r="Q826">
        <v>5124382</v>
      </c>
      <c r="R826">
        <v>5065800</v>
      </c>
      <c r="S826">
        <v>1520952</v>
      </c>
      <c r="T826">
        <v>1545662</v>
      </c>
      <c r="U826">
        <v>0</v>
      </c>
      <c r="V826">
        <v>0</v>
      </c>
      <c r="W826">
        <v>0</v>
      </c>
      <c r="X826">
        <v>0</v>
      </c>
      <c r="Y826">
        <v>10674262</v>
      </c>
      <c r="Z826">
        <v>10612514</v>
      </c>
      <c r="AA826">
        <f t="shared" si="25"/>
        <v>-58582</v>
      </c>
      <c r="AB826">
        <f t="shared" si="24"/>
        <v>-1.1432012679772898</v>
      </c>
    </row>
    <row r="827" spans="1:28">
      <c r="A827" t="s">
        <v>40</v>
      </c>
      <c r="B827" s="2">
        <v>45566</v>
      </c>
      <c r="C827" s="2">
        <v>45536</v>
      </c>
      <c r="D827" s="2">
        <v>45649</v>
      </c>
      <c r="E827">
        <v>80136193</v>
      </c>
      <c r="F827">
        <v>79313960</v>
      </c>
      <c r="G827">
        <v>-822233</v>
      </c>
      <c r="H827">
        <v>82.44</v>
      </c>
      <c r="I827">
        <v>1220000</v>
      </c>
      <c r="J827" t="s">
        <v>29</v>
      </c>
      <c r="K827">
        <v>81.06</v>
      </c>
      <c r="L827">
        <v>82.28</v>
      </c>
      <c r="M827">
        <v>16194135</v>
      </c>
      <c r="N827">
        <v>16408516</v>
      </c>
      <c r="O827">
        <v>0</v>
      </c>
      <c r="P827">
        <v>0</v>
      </c>
      <c r="Q827">
        <v>14826930</v>
      </c>
      <c r="R827">
        <v>14479494</v>
      </c>
      <c r="S827">
        <v>5103966</v>
      </c>
      <c r="T827">
        <v>5136269</v>
      </c>
      <c r="U827">
        <v>0</v>
      </c>
      <c r="V827">
        <v>0</v>
      </c>
      <c r="W827">
        <v>0</v>
      </c>
      <c r="X827">
        <v>0</v>
      </c>
      <c r="Y827">
        <v>44011162</v>
      </c>
      <c r="Z827">
        <v>43289681</v>
      </c>
      <c r="AA827">
        <f t="shared" si="25"/>
        <v>-347436</v>
      </c>
      <c r="AB827">
        <f t="shared" si="24"/>
        <v>-2.3432767268746799</v>
      </c>
    </row>
    <row r="828" spans="1:28">
      <c r="A828" t="s">
        <v>41</v>
      </c>
      <c r="B828" s="2">
        <v>45566</v>
      </c>
      <c r="C828" s="2">
        <v>45536</v>
      </c>
      <c r="D828" s="2">
        <v>45649</v>
      </c>
      <c r="E828">
        <v>91882945</v>
      </c>
      <c r="F828">
        <v>91336905</v>
      </c>
      <c r="G828">
        <v>-546040</v>
      </c>
      <c r="H828">
        <v>90.48</v>
      </c>
      <c r="I828">
        <v>1020000</v>
      </c>
      <c r="J828" t="s">
        <v>29</v>
      </c>
      <c r="K828">
        <v>84.93</v>
      </c>
      <c r="L828">
        <v>85.95</v>
      </c>
      <c r="M828">
        <v>22167747</v>
      </c>
      <c r="N828">
        <v>22377901</v>
      </c>
      <c r="O828">
        <v>0</v>
      </c>
      <c r="P828">
        <v>0</v>
      </c>
      <c r="Q828">
        <v>21454681</v>
      </c>
      <c r="R828">
        <v>21203996</v>
      </c>
      <c r="S828">
        <v>5755259</v>
      </c>
      <c r="T828">
        <v>5777662</v>
      </c>
      <c r="U828">
        <v>0</v>
      </c>
      <c r="V828">
        <v>0</v>
      </c>
      <c r="W828">
        <v>0</v>
      </c>
      <c r="X828">
        <v>0</v>
      </c>
      <c r="Y828">
        <v>42505258</v>
      </c>
      <c r="Z828">
        <v>41977346</v>
      </c>
      <c r="AA828">
        <f t="shared" si="25"/>
        <v>-250685</v>
      </c>
      <c r="AB828">
        <f t="shared" si="24"/>
        <v>-1.1684396519342328</v>
      </c>
    </row>
    <row r="829" spans="1:28">
      <c r="A829" t="s">
        <v>42</v>
      </c>
      <c r="B829" s="2">
        <v>45566</v>
      </c>
      <c r="C829" s="2">
        <v>45536</v>
      </c>
      <c r="D829" s="2">
        <v>45649</v>
      </c>
      <c r="E829">
        <v>33787407</v>
      </c>
      <c r="F829">
        <v>33909288</v>
      </c>
      <c r="G829">
        <v>121881</v>
      </c>
      <c r="H829">
        <v>72.09</v>
      </c>
      <c r="I829">
        <v>290000</v>
      </c>
      <c r="J829" t="s">
        <v>29</v>
      </c>
      <c r="K829">
        <v>34.61</v>
      </c>
      <c r="L829">
        <v>34.9</v>
      </c>
      <c r="M829">
        <v>10037605</v>
      </c>
      <c r="N829">
        <v>10067105</v>
      </c>
      <c r="O829">
        <v>0</v>
      </c>
      <c r="P829">
        <v>0</v>
      </c>
      <c r="Q829">
        <v>10719976</v>
      </c>
      <c r="R829">
        <v>10710796</v>
      </c>
      <c r="S829">
        <v>0</v>
      </c>
      <c r="T829">
        <v>0</v>
      </c>
      <c r="U829">
        <v>0</v>
      </c>
      <c r="V829">
        <v>0</v>
      </c>
      <c r="W829">
        <v>222576</v>
      </c>
      <c r="X829">
        <v>220214</v>
      </c>
      <c r="Y829">
        <v>12807250</v>
      </c>
      <c r="Z829">
        <v>12911173</v>
      </c>
      <c r="AA829">
        <f t="shared" si="25"/>
        <v>-9180</v>
      </c>
      <c r="AB829">
        <f t="shared" si="24"/>
        <v>-8.5634520077283754E-2</v>
      </c>
    </row>
    <row r="830" spans="1:28">
      <c r="A830" t="s">
        <v>43</v>
      </c>
      <c r="B830" s="2">
        <v>45566</v>
      </c>
      <c r="C830" s="2">
        <v>45536</v>
      </c>
      <c r="D830" s="2">
        <v>45649</v>
      </c>
      <c r="E830">
        <v>12411381</v>
      </c>
      <c r="F830">
        <v>12400212</v>
      </c>
      <c r="G830">
        <v>-11169</v>
      </c>
      <c r="H830">
        <v>94.54</v>
      </c>
      <c r="I830">
        <v>30000</v>
      </c>
      <c r="J830" t="s">
        <v>29</v>
      </c>
      <c r="K830">
        <v>2.4</v>
      </c>
      <c r="L830">
        <v>2.4300000000000002</v>
      </c>
      <c r="M830">
        <v>6220020</v>
      </c>
      <c r="N830">
        <v>6267645</v>
      </c>
      <c r="O830">
        <v>0</v>
      </c>
      <c r="P830">
        <v>0</v>
      </c>
      <c r="Q830">
        <v>686784</v>
      </c>
      <c r="R830">
        <v>678360</v>
      </c>
      <c r="S830">
        <v>1288485</v>
      </c>
      <c r="T830">
        <v>1292344</v>
      </c>
      <c r="U830">
        <v>0</v>
      </c>
      <c r="V830">
        <v>0</v>
      </c>
      <c r="W830">
        <v>0</v>
      </c>
      <c r="X830">
        <v>0</v>
      </c>
      <c r="Y830">
        <v>4216092</v>
      </c>
      <c r="Z830">
        <v>4161863</v>
      </c>
      <c r="AA830">
        <f t="shared" si="25"/>
        <v>-8424</v>
      </c>
      <c r="AB830">
        <f t="shared" si="24"/>
        <v>-1.2265865250209673</v>
      </c>
    </row>
    <row r="831" spans="1:28">
      <c r="A831" t="s">
        <v>44</v>
      </c>
      <c r="B831" s="2">
        <v>45566</v>
      </c>
      <c r="C831" s="2">
        <v>45536</v>
      </c>
      <c r="D831" s="2">
        <v>45649</v>
      </c>
      <c r="E831">
        <v>34080626</v>
      </c>
      <c r="F831">
        <v>34113766</v>
      </c>
      <c r="G831">
        <v>33140</v>
      </c>
      <c r="H831">
        <v>90.21</v>
      </c>
      <c r="I831">
        <v>190000</v>
      </c>
      <c r="J831" t="s">
        <v>29</v>
      </c>
      <c r="K831">
        <v>18.260000000000002</v>
      </c>
      <c r="L831">
        <v>18.45</v>
      </c>
      <c r="M831">
        <v>11713511</v>
      </c>
      <c r="N831">
        <v>11745462</v>
      </c>
      <c r="O831">
        <v>0</v>
      </c>
      <c r="P831">
        <v>0</v>
      </c>
      <c r="Q831">
        <v>1405342</v>
      </c>
      <c r="R831">
        <v>1389017</v>
      </c>
      <c r="S831">
        <v>5514987</v>
      </c>
      <c r="T831">
        <v>5548276</v>
      </c>
      <c r="U831">
        <v>0</v>
      </c>
      <c r="V831">
        <v>0</v>
      </c>
      <c r="W831">
        <v>0</v>
      </c>
      <c r="X831">
        <v>0</v>
      </c>
      <c r="Y831">
        <v>15446786</v>
      </c>
      <c r="Z831">
        <v>15431011</v>
      </c>
      <c r="AA831">
        <f t="shared" si="25"/>
        <v>-16325</v>
      </c>
      <c r="AB831">
        <f t="shared" si="24"/>
        <v>-1.1616389462493828</v>
      </c>
    </row>
    <row r="832" spans="1:28">
      <c r="A832" t="s">
        <v>45</v>
      </c>
      <c r="B832" s="2">
        <v>45566</v>
      </c>
      <c r="C832" s="2">
        <v>45536</v>
      </c>
      <c r="D832" s="2">
        <v>45649</v>
      </c>
      <c r="E832">
        <v>34212158</v>
      </c>
      <c r="F832">
        <v>34097749</v>
      </c>
      <c r="G832">
        <v>-114409</v>
      </c>
      <c r="H832">
        <v>91.48</v>
      </c>
      <c r="I832">
        <v>320000</v>
      </c>
      <c r="J832" t="s">
        <v>29</v>
      </c>
      <c r="K832">
        <v>34.39</v>
      </c>
      <c r="L832">
        <v>34.71</v>
      </c>
      <c r="M832">
        <v>12343209</v>
      </c>
      <c r="N832">
        <v>12413856</v>
      </c>
      <c r="O832">
        <v>0</v>
      </c>
      <c r="P832">
        <v>0</v>
      </c>
      <c r="Q832">
        <v>6266553</v>
      </c>
      <c r="R832">
        <v>6205616</v>
      </c>
      <c r="S832">
        <v>4149718</v>
      </c>
      <c r="T832">
        <v>4192814</v>
      </c>
      <c r="U832">
        <v>0</v>
      </c>
      <c r="V832">
        <v>0</v>
      </c>
      <c r="W832">
        <v>0</v>
      </c>
      <c r="X832">
        <v>0</v>
      </c>
      <c r="Y832">
        <v>11452678</v>
      </c>
      <c r="Z832">
        <v>11285463</v>
      </c>
      <c r="AA832">
        <f t="shared" si="25"/>
        <v>-60937</v>
      </c>
      <c r="AB832">
        <f t="shared" si="24"/>
        <v>-0.97241657415169069</v>
      </c>
    </row>
    <row r="833" spans="1:28">
      <c r="A833" t="s">
        <v>46</v>
      </c>
      <c r="B833" s="2">
        <v>45566</v>
      </c>
      <c r="C833" s="2">
        <v>45536</v>
      </c>
      <c r="D833" s="2">
        <v>45649</v>
      </c>
      <c r="E833">
        <v>64765716</v>
      </c>
      <c r="F833">
        <v>64526032</v>
      </c>
      <c r="G833">
        <v>-239684</v>
      </c>
      <c r="H833">
        <v>88.31</v>
      </c>
      <c r="I833">
        <v>690000</v>
      </c>
      <c r="J833" t="s">
        <v>29</v>
      </c>
      <c r="K833">
        <v>70.489999999999995</v>
      </c>
      <c r="L833">
        <v>71.180000000000007</v>
      </c>
      <c r="M833">
        <v>23013606</v>
      </c>
      <c r="N833">
        <v>23092425</v>
      </c>
      <c r="O833">
        <v>0</v>
      </c>
      <c r="P833">
        <v>0</v>
      </c>
      <c r="Q833">
        <v>9785029</v>
      </c>
      <c r="R833">
        <v>9586222</v>
      </c>
      <c r="S833">
        <v>5607144</v>
      </c>
      <c r="T833">
        <v>5602409</v>
      </c>
      <c r="U833">
        <v>0</v>
      </c>
      <c r="V833">
        <v>0</v>
      </c>
      <c r="W833">
        <v>0</v>
      </c>
      <c r="X833">
        <v>0</v>
      </c>
      <c r="Y833">
        <v>26359937</v>
      </c>
      <c r="Z833">
        <v>26244976</v>
      </c>
      <c r="AA833">
        <f t="shared" si="25"/>
        <v>-198807</v>
      </c>
      <c r="AB833">
        <f t="shared" si="24"/>
        <v>-2.0317466611493944</v>
      </c>
    </row>
    <row r="834" spans="1:28">
      <c r="A834" t="s">
        <v>47</v>
      </c>
      <c r="B834" s="2">
        <v>45566</v>
      </c>
      <c r="C834" s="2">
        <v>45536</v>
      </c>
      <c r="D834" s="2">
        <v>45649</v>
      </c>
      <c r="E834">
        <v>77784673</v>
      </c>
      <c r="F834">
        <v>77563247</v>
      </c>
      <c r="G834">
        <v>-221426</v>
      </c>
      <c r="H834">
        <v>91.43</v>
      </c>
      <c r="I834">
        <v>610000</v>
      </c>
      <c r="J834" t="s">
        <v>29</v>
      </c>
      <c r="K834">
        <v>65.709999999999994</v>
      </c>
      <c r="L834">
        <v>66.319999999999993</v>
      </c>
      <c r="M834">
        <v>29721923</v>
      </c>
      <c r="N834">
        <v>29862485</v>
      </c>
      <c r="O834">
        <v>0</v>
      </c>
      <c r="P834">
        <v>0</v>
      </c>
      <c r="Q834">
        <v>15145802</v>
      </c>
      <c r="R834">
        <v>15084404</v>
      </c>
      <c r="S834">
        <v>7823388</v>
      </c>
      <c r="T834">
        <v>7797945</v>
      </c>
      <c r="U834">
        <v>204747</v>
      </c>
      <c r="V834">
        <v>206894</v>
      </c>
      <c r="W834">
        <v>0</v>
      </c>
      <c r="X834">
        <v>0</v>
      </c>
      <c r="Y834">
        <v>24888813</v>
      </c>
      <c r="Z834">
        <v>24611519</v>
      </c>
      <c r="AA834">
        <f t="shared" si="25"/>
        <v>-61398</v>
      </c>
      <c r="AB834">
        <f t="shared" si="24"/>
        <v>-0.40537965569601397</v>
      </c>
    </row>
    <row r="835" spans="1:28">
      <c r="A835" t="s">
        <v>48</v>
      </c>
      <c r="B835" s="2">
        <v>45566</v>
      </c>
      <c r="C835" s="2">
        <v>45536</v>
      </c>
      <c r="D835" s="2">
        <v>45649</v>
      </c>
      <c r="E835">
        <v>101293331</v>
      </c>
      <c r="F835">
        <v>100897129</v>
      </c>
      <c r="G835">
        <v>-396202</v>
      </c>
      <c r="H835">
        <v>86.65</v>
      </c>
      <c r="I835">
        <v>1930000</v>
      </c>
      <c r="J835" t="s">
        <v>29</v>
      </c>
      <c r="K835">
        <v>100.56</v>
      </c>
      <c r="L835">
        <v>102.49</v>
      </c>
      <c r="M835">
        <v>36304870</v>
      </c>
      <c r="N835">
        <v>36229144</v>
      </c>
      <c r="O835">
        <v>0</v>
      </c>
      <c r="P835">
        <v>0</v>
      </c>
      <c r="Q835">
        <v>16517501</v>
      </c>
      <c r="R835">
        <v>16318731</v>
      </c>
      <c r="S835">
        <v>8297577</v>
      </c>
      <c r="T835">
        <v>8373386</v>
      </c>
      <c r="U835">
        <v>0</v>
      </c>
      <c r="V835">
        <v>0</v>
      </c>
      <c r="W835">
        <v>0</v>
      </c>
      <c r="X835">
        <v>0</v>
      </c>
      <c r="Y835">
        <v>40173383</v>
      </c>
      <c r="Z835">
        <v>39975868</v>
      </c>
      <c r="AA835">
        <f t="shared" si="25"/>
        <v>-198770</v>
      </c>
      <c r="AB835">
        <f t="shared" ref="AB835:AB898" si="26">(($R835-$Q835)/$Q835)*100</f>
        <v>-1.2033902707195236</v>
      </c>
    </row>
    <row r="836" spans="1:28">
      <c r="A836" t="s">
        <v>49</v>
      </c>
      <c r="B836" s="2">
        <v>45566</v>
      </c>
      <c r="C836" s="2">
        <v>45536</v>
      </c>
      <c r="D836" s="2">
        <v>45649</v>
      </c>
      <c r="E836">
        <v>62872320</v>
      </c>
      <c r="F836">
        <v>62507342</v>
      </c>
      <c r="G836">
        <v>-364978</v>
      </c>
      <c r="H836">
        <v>87.19</v>
      </c>
      <c r="I836">
        <v>1270000</v>
      </c>
      <c r="J836" t="s">
        <v>29</v>
      </c>
      <c r="K836">
        <v>76.069999999999993</v>
      </c>
      <c r="L836">
        <v>77.34</v>
      </c>
      <c r="M836">
        <v>18783592</v>
      </c>
      <c r="N836">
        <v>18802873</v>
      </c>
      <c r="O836">
        <v>0</v>
      </c>
      <c r="P836">
        <v>0</v>
      </c>
      <c r="Q836">
        <v>14998895</v>
      </c>
      <c r="R836">
        <v>14819932</v>
      </c>
      <c r="S836">
        <v>5286252</v>
      </c>
      <c r="T836">
        <v>5343136</v>
      </c>
      <c r="U836">
        <v>0</v>
      </c>
      <c r="V836">
        <v>0</v>
      </c>
      <c r="W836">
        <v>0</v>
      </c>
      <c r="X836">
        <v>0</v>
      </c>
      <c r="Y836">
        <v>23803581</v>
      </c>
      <c r="Z836">
        <v>23541401</v>
      </c>
      <c r="AA836">
        <f t="shared" ref="AA836:AA899" si="27">$R836-$Q836</f>
        <v>-178963</v>
      </c>
      <c r="AB836">
        <f t="shared" si="26"/>
        <v>-1.1931745638595377</v>
      </c>
    </row>
    <row r="837" spans="1:28">
      <c r="A837" t="s">
        <v>50</v>
      </c>
      <c r="B837" s="2">
        <v>45566</v>
      </c>
      <c r="C837" s="2">
        <v>45536</v>
      </c>
      <c r="D837" s="2">
        <v>45649</v>
      </c>
      <c r="E837">
        <v>57069110</v>
      </c>
      <c r="F837">
        <v>56977471</v>
      </c>
      <c r="G837">
        <v>-91639</v>
      </c>
      <c r="H837">
        <v>86.69</v>
      </c>
      <c r="I837">
        <v>1020000</v>
      </c>
      <c r="J837" t="s">
        <v>29</v>
      </c>
      <c r="K837">
        <v>60.66</v>
      </c>
      <c r="L837">
        <v>61.68</v>
      </c>
      <c r="M837">
        <v>18025740</v>
      </c>
      <c r="N837">
        <v>18189381</v>
      </c>
      <c r="O837">
        <v>0</v>
      </c>
      <c r="P837">
        <v>0</v>
      </c>
      <c r="Q837">
        <v>12465704</v>
      </c>
      <c r="R837">
        <v>12298014</v>
      </c>
      <c r="S837">
        <v>2681800</v>
      </c>
      <c r="T837">
        <v>2721928</v>
      </c>
      <c r="U837">
        <v>0</v>
      </c>
      <c r="V837">
        <v>0</v>
      </c>
      <c r="W837">
        <v>0</v>
      </c>
      <c r="X837">
        <v>0</v>
      </c>
      <c r="Y837">
        <v>23895866</v>
      </c>
      <c r="Z837">
        <v>23768148</v>
      </c>
      <c r="AA837">
        <f t="shared" si="27"/>
        <v>-167690</v>
      </c>
      <c r="AB837">
        <f t="shared" si="26"/>
        <v>-1.3452108280446895</v>
      </c>
    </row>
    <row r="838" spans="1:28">
      <c r="A838" t="s">
        <v>28</v>
      </c>
      <c r="B838" s="2">
        <v>45597</v>
      </c>
      <c r="C838" s="2">
        <v>45566</v>
      </c>
      <c r="E838">
        <v>82354331</v>
      </c>
      <c r="F838">
        <v>82348097</v>
      </c>
      <c r="G838">
        <v>-6234</v>
      </c>
      <c r="H838">
        <v>88.92</v>
      </c>
      <c r="I838">
        <v>660000</v>
      </c>
      <c r="J838" t="s">
        <v>29</v>
      </c>
      <c r="K838">
        <v>69.53</v>
      </c>
      <c r="L838">
        <v>70.19</v>
      </c>
      <c r="M838">
        <v>33741507</v>
      </c>
      <c r="N838">
        <v>33686681</v>
      </c>
      <c r="O838">
        <v>0</v>
      </c>
      <c r="P838">
        <v>0</v>
      </c>
      <c r="Q838">
        <v>10223247</v>
      </c>
      <c r="R838">
        <v>10138599</v>
      </c>
      <c r="S838">
        <v>6747075</v>
      </c>
      <c r="T838">
        <v>6799880</v>
      </c>
      <c r="U838">
        <v>0</v>
      </c>
      <c r="V838">
        <v>0</v>
      </c>
      <c r="W838">
        <v>0</v>
      </c>
      <c r="X838">
        <v>0</v>
      </c>
      <c r="Y838">
        <v>31642502</v>
      </c>
      <c r="Z838">
        <v>31722937</v>
      </c>
      <c r="AA838">
        <f t="shared" si="27"/>
        <v>-84648</v>
      </c>
      <c r="AB838">
        <f t="shared" si="26"/>
        <v>-0.82799525434531718</v>
      </c>
    </row>
    <row r="839" spans="1:28">
      <c r="A839" t="s">
        <v>30</v>
      </c>
      <c r="B839" s="2">
        <v>45597</v>
      </c>
      <c r="C839" s="2">
        <v>45566</v>
      </c>
      <c r="E839">
        <v>26050878</v>
      </c>
      <c r="F839">
        <v>26028039</v>
      </c>
      <c r="G839">
        <v>-22839</v>
      </c>
      <c r="H839">
        <v>91.59</v>
      </c>
      <c r="I839">
        <v>100000</v>
      </c>
      <c r="J839" t="s">
        <v>29</v>
      </c>
      <c r="K839">
        <v>7.68</v>
      </c>
      <c r="L839">
        <v>7.78</v>
      </c>
      <c r="M839">
        <v>11890497</v>
      </c>
      <c r="N839">
        <v>11886126</v>
      </c>
      <c r="O839">
        <v>0</v>
      </c>
      <c r="P839">
        <v>0</v>
      </c>
      <c r="Q839">
        <v>1465211</v>
      </c>
      <c r="R839">
        <v>1436362</v>
      </c>
      <c r="S839">
        <v>2984559</v>
      </c>
      <c r="T839">
        <v>2990873</v>
      </c>
      <c r="U839">
        <v>0</v>
      </c>
      <c r="V839">
        <v>0</v>
      </c>
      <c r="W839">
        <v>0</v>
      </c>
      <c r="X839">
        <v>0</v>
      </c>
      <c r="Y839">
        <v>9710611</v>
      </c>
      <c r="Z839">
        <v>9714678</v>
      </c>
      <c r="AA839">
        <f t="shared" si="27"/>
        <v>-28849</v>
      </c>
      <c r="AB839">
        <f t="shared" si="26"/>
        <v>-1.9689314371786726</v>
      </c>
    </row>
    <row r="840" spans="1:28">
      <c r="A840" t="s">
        <v>31</v>
      </c>
      <c r="B840" s="2">
        <v>45597</v>
      </c>
      <c r="C840" s="2">
        <v>45566</v>
      </c>
      <c r="E840">
        <v>94433782</v>
      </c>
      <c r="F840">
        <v>94537349</v>
      </c>
      <c r="G840">
        <v>103567</v>
      </c>
      <c r="H840">
        <v>85.98</v>
      </c>
      <c r="I840">
        <v>980000</v>
      </c>
      <c r="J840" t="s">
        <v>29</v>
      </c>
      <c r="K840">
        <v>59.88</v>
      </c>
      <c r="L840">
        <v>60.86</v>
      </c>
      <c r="M840">
        <v>40526286</v>
      </c>
      <c r="N840">
        <v>40510920</v>
      </c>
      <c r="O840">
        <v>0</v>
      </c>
      <c r="P840">
        <v>0</v>
      </c>
      <c r="Q840">
        <v>7493956</v>
      </c>
      <c r="R840">
        <v>7454845</v>
      </c>
      <c r="S840">
        <v>6049430</v>
      </c>
      <c r="T840">
        <v>5977315</v>
      </c>
      <c r="U840">
        <v>0</v>
      </c>
      <c r="V840">
        <v>0</v>
      </c>
      <c r="W840">
        <v>0</v>
      </c>
      <c r="X840">
        <v>0</v>
      </c>
      <c r="Y840">
        <v>40364110</v>
      </c>
      <c r="Z840">
        <v>40594269</v>
      </c>
      <c r="AA840">
        <f t="shared" si="27"/>
        <v>-39111</v>
      </c>
      <c r="AB840">
        <f t="shared" si="26"/>
        <v>-0.52190058228257541</v>
      </c>
    </row>
    <row r="841" spans="1:28">
      <c r="A841" t="s">
        <v>32</v>
      </c>
      <c r="B841" s="2">
        <v>45597</v>
      </c>
      <c r="C841" s="2">
        <v>45566</v>
      </c>
      <c r="E841">
        <v>56476114</v>
      </c>
      <c r="F841">
        <v>56488880</v>
      </c>
      <c r="G841">
        <v>12766</v>
      </c>
      <c r="H841">
        <v>53.47</v>
      </c>
      <c r="I841">
        <v>540000</v>
      </c>
      <c r="J841" t="s">
        <v>29</v>
      </c>
      <c r="K841">
        <v>50.28</v>
      </c>
      <c r="L841">
        <v>50.82</v>
      </c>
      <c r="M841">
        <v>18407951</v>
      </c>
      <c r="N841">
        <v>18362907</v>
      </c>
      <c r="O841">
        <v>0</v>
      </c>
      <c r="P841">
        <v>1</v>
      </c>
      <c r="Q841">
        <v>16774937</v>
      </c>
      <c r="R841">
        <v>16808326</v>
      </c>
      <c r="S841">
        <v>0</v>
      </c>
      <c r="T841">
        <v>0</v>
      </c>
      <c r="U841">
        <v>0</v>
      </c>
      <c r="V841">
        <v>0</v>
      </c>
      <c r="W841">
        <v>1684424</v>
      </c>
      <c r="X841">
        <v>1684377</v>
      </c>
      <c r="Y841">
        <v>19608802</v>
      </c>
      <c r="Z841">
        <v>19633269</v>
      </c>
      <c r="AA841">
        <f t="shared" si="27"/>
        <v>33389</v>
      </c>
      <c r="AB841">
        <f t="shared" si="26"/>
        <v>0.199040985966147</v>
      </c>
    </row>
    <row r="842" spans="1:28">
      <c r="A842" t="s">
        <v>33</v>
      </c>
      <c r="B842" s="2">
        <v>45597</v>
      </c>
      <c r="C842" s="2">
        <v>45566</v>
      </c>
      <c r="E842">
        <v>65159339</v>
      </c>
      <c r="F842">
        <v>64858129</v>
      </c>
      <c r="G842">
        <v>-301210</v>
      </c>
      <c r="H842">
        <v>89.87</v>
      </c>
      <c r="I842">
        <v>790000</v>
      </c>
      <c r="J842" t="s">
        <v>29</v>
      </c>
      <c r="K842">
        <v>71.66</v>
      </c>
      <c r="L842">
        <v>72.45</v>
      </c>
      <c r="M842">
        <v>12183652</v>
      </c>
      <c r="N842">
        <v>12139442</v>
      </c>
      <c r="O842">
        <v>0</v>
      </c>
      <c r="P842">
        <v>16</v>
      </c>
      <c r="Q842">
        <v>19965032</v>
      </c>
      <c r="R842">
        <v>19815105</v>
      </c>
      <c r="S842">
        <v>3321146</v>
      </c>
      <c r="T842">
        <v>3326904</v>
      </c>
      <c r="U842">
        <v>0</v>
      </c>
      <c r="V842">
        <v>0</v>
      </c>
      <c r="W842">
        <v>0</v>
      </c>
      <c r="X842">
        <v>0</v>
      </c>
      <c r="Y842">
        <v>29689509</v>
      </c>
      <c r="Z842">
        <v>29576662</v>
      </c>
      <c r="AA842">
        <f t="shared" si="27"/>
        <v>-149927</v>
      </c>
      <c r="AB842">
        <f t="shared" si="26"/>
        <v>-0.75094795740873344</v>
      </c>
    </row>
    <row r="843" spans="1:28">
      <c r="A843" t="s">
        <v>34</v>
      </c>
      <c r="B843" s="2">
        <v>45597</v>
      </c>
      <c r="C843" s="2">
        <v>45566</v>
      </c>
      <c r="E843">
        <v>26040526</v>
      </c>
      <c r="F843">
        <v>25930591</v>
      </c>
      <c r="G843">
        <v>-109935</v>
      </c>
      <c r="H843">
        <v>91.32</v>
      </c>
      <c r="I843">
        <v>370000</v>
      </c>
      <c r="J843" t="s">
        <v>29</v>
      </c>
      <c r="K843">
        <v>33.22</v>
      </c>
      <c r="L843">
        <v>33.590000000000003</v>
      </c>
      <c r="M843">
        <v>7099729</v>
      </c>
      <c r="N843">
        <v>7036790</v>
      </c>
      <c r="O843">
        <v>0</v>
      </c>
      <c r="P843">
        <v>0</v>
      </c>
      <c r="Q843">
        <v>6513780</v>
      </c>
      <c r="R843">
        <v>6454877</v>
      </c>
      <c r="S843">
        <v>4134037</v>
      </c>
      <c r="T843">
        <v>4131662</v>
      </c>
      <c r="U843">
        <v>0</v>
      </c>
      <c r="V843">
        <v>0</v>
      </c>
      <c r="W843">
        <v>0</v>
      </c>
      <c r="X843">
        <v>0</v>
      </c>
      <c r="Y843">
        <v>8292980</v>
      </c>
      <c r="Z843">
        <v>8307262</v>
      </c>
      <c r="AA843">
        <f t="shared" si="27"/>
        <v>-58903</v>
      </c>
      <c r="AB843">
        <f t="shared" si="26"/>
        <v>-0.90428292020915657</v>
      </c>
    </row>
    <row r="844" spans="1:28">
      <c r="A844" t="s">
        <v>35</v>
      </c>
      <c r="B844" s="2">
        <v>45597</v>
      </c>
      <c r="C844" s="2">
        <v>45566</v>
      </c>
      <c r="E844">
        <v>8796699</v>
      </c>
      <c r="F844">
        <v>8804745</v>
      </c>
      <c r="G844">
        <v>8046</v>
      </c>
      <c r="H844">
        <v>100.85</v>
      </c>
      <c r="I844">
        <v>40000</v>
      </c>
      <c r="J844" t="s">
        <v>29</v>
      </c>
      <c r="K844">
        <v>4.46</v>
      </c>
      <c r="L844">
        <v>4.5</v>
      </c>
      <c r="M844">
        <v>3542799</v>
      </c>
      <c r="N844">
        <v>3545058</v>
      </c>
      <c r="O844">
        <v>0</v>
      </c>
      <c r="P844">
        <v>0</v>
      </c>
      <c r="Q844">
        <v>381834</v>
      </c>
      <c r="R844">
        <v>380490</v>
      </c>
      <c r="S844">
        <v>1649665</v>
      </c>
      <c r="T844">
        <v>1658686</v>
      </c>
      <c r="U844">
        <v>0</v>
      </c>
      <c r="V844">
        <v>0</v>
      </c>
      <c r="W844">
        <v>0</v>
      </c>
      <c r="X844">
        <v>0</v>
      </c>
      <c r="Y844">
        <v>3222401</v>
      </c>
      <c r="Z844">
        <v>3220511</v>
      </c>
      <c r="AA844">
        <f t="shared" si="27"/>
        <v>-1344</v>
      </c>
      <c r="AB844">
        <f t="shared" si="26"/>
        <v>-0.35198541774697906</v>
      </c>
    </row>
    <row r="845" spans="1:28">
      <c r="A845" t="s">
        <v>36</v>
      </c>
      <c r="B845" s="2">
        <v>45597</v>
      </c>
      <c r="C845" s="2">
        <v>45566</v>
      </c>
      <c r="E845">
        <v>12244383</v>
      </c>
      <c r="F845">
        <v>12133600</v>
      </c>
      <c r="G845">
        <v>-110783</v>
      </c>
      <c r="H845">
        <v>85.25</v>
      </c>
      <c r="I845">
        <v>60000</v>
      </c>
      <c r="J845" t="s">
        <v>29</v>
      </c>
      <c r="K845">
        <v>2.91</v>
      </c>
      <c r="L845">
        <v>2.97</v>
      </c>
      <c r="M845">
        <v>6101786</v>
      </c>
      <c r="N845">
        <v>6100700</v>
      </c>
      <c r="O845">
        <v>0</v>
      </c>
      <c r="P845">
        <v>0</v>
      </c>
      <c r="Q845">
        <v>268400</v>
      </c>
      <c r="R845">
        <v>261339</v>
      </c>
      <c r="S845">
        <v>924203</v>
      </c>
      <c r="T845">
        <v>874481</v>
      </c>
      <c r="U845">
        <v>0</v>
      </c>
      <c r="V845">
        <v>0</v>
      </c>
      <c r="W845">
        <v>0</v>
      </c>
      <c r="X845">
        <v>0</v>
      </c>
      <c r="Y845">
        <v>4949994</v>
      </c>
      <c r="Z845">
        <v>4897080</v>
      </c>
      <c r="AA845">
        <f t="shared" si="27"/>
        <v>-7061</v>
      </c>
      <c r="AB845">
        <f t="shared" si="26"/>
        <v>-2.6307749627421759</v>
      </c>
    </row>
    <row r="846" spans="1:28">
      <c r="A846" t="s">
        <v>37</v>
      </c>
      <c r="B846" s="2">
        <v>45597</v>
      </c>
      <c r="C846" s="2">
        <v>45566</v>
      </c>
      <c r="E846">
        <v>67171388</v>
      </c>
      <c r="F846">
        <v>67421266</v>
      </c>
      <c r="G846">
        <v>249878</v>
      </c>
      <c r="H846">
        <v>73.56</v>
      </c>
      <c r="I846">
        <v>550000</v>
      </c>
      <c r="J846" t="s">
        <v>29</v>
      </c>
      <c r="K846">
        <v>70.819999999999993</v>
      </c>
      <c r="L846">
        <v>71.37</v>
      </c>
      <c r="M846">
        <v>32164155</v>
      </c>
      <c r="N846">
        <v>32123159</v>
      </c>
      <c r="O846">
        <v>0</v>
      </c>
      <c r="P846">
        <v>214</v>
      </c>
      <c r="Q846">
        <v>6413163</v>
      </c>
      <c r="R846">
        <v>6494622</v>
      </c>
      <c r="S846">
        <v>4550894</v>
      </c>
      <c r="T846">
        <v>4575413</v>
      </c>
      <c r="U846">
        <v>0</v>
      </c>
      <c r="V846">
        <v>0</v>
      </c>
      <c r="W846">
        <v>0</v>
      </c>
      <c r="X846">
        <v>0</v>
      </c>
      <c r="Y846">
        <v>24043176</v>
      </c>
      <c r="Z846">
        <v>24227858</v>
      </c>
      <c r="AA846">
        <f t="shared" si="27"/>
        <v>81459</v>
      </c>
      <c r="AB846">
        <f t="shared" si="26"/>
        <v>1.2701844627994019</v>
      </c>
    </row>
    <row r="847" spans="1:28">
      <c r="A847" t="s">
        <v>38</v>
      </c>
      <c r="B847" s="2">
        <v>45597</v>
      </c>
      <c r="C847" s="2">
        <v>45566</v>
      </c>
      <c r="E847">
        <v>41350751</v>
      </c>
      <c r="F847">
        <v>41313241</v>
      </c>
      <c r="G847">
        <v>-37510</v>
      </c>
      <c r="H847">
        <v>93.21</v>
      </c>
      <c r="I847">
        <v>250000</v>
      </c>
      <c r="J847" t="s">
        <v>29</v>
      </c>
      <c r="K847">
        <v>25.15</v>
      </c>
      <c r="L847">
        <v>25.4</v>
      </c>
      <c r="M847">
        <v>8825708</v>
      </c>
      <c r="N847">
        <v>8792441</v>
      </c>
      <c r="O847">
        <v>0</v>
      </c>
      <c r="P847">
        <v>0</v>
      </c>
      <c r="Q847">
        <v>13137419</v>
      </c>
      <c r="R847">
        <v>13109867</v>
      </c>
      <c r="S847">
        <v>8703442</v>
      </c>
      <c r="T847">
        <v>8727432</v>
      </c>
      <c r="U847">
        <v>0</v>
      </c>
      <c r="V847">
        <v>0</v>
      </c>
      <c r="W847">
        <v>0</v>
      </c>
      <c r="X847">
        <v>0</v>
      </c>
      <c r="Y847">
        <v>10684182</v>
      </c>
      <c r="Z847">
        <v>10683501</v>
      </c>
      <c r="AA847">
        <f t="shared" si="27"/>
        <v>-27552</v>
      </c>
      <c r="AB847">
        <f t="shared" si="26"/>
        <v>-0.20972155946308782</v>
      </c>
    </row>
    <row r="848" spans="1:28">
      <c r="A848" t="s">
        <v>39</v>
      </c>
      <c r="B848" s="2">
        <v>45597</v>
      </c>
      <c r="C848" s="2">
        <v>45566</v>
      </c>
      <c r="E848">
        <v>22693859</v>
      </c>
      <c r="F848">
        <v>22547275</v>
      </c>
      <c r="G848">
        <v>-146584</v>
      </c>
      <c r="H848">
        <v>86.48</v>
      </c>
      <c r="I848">
        <v>190000</v>
      </c>
      <c r="J848" t="s">
        <v>29</v>
      </c>
      <c r="K848">
        <v>19.239999999999998</v>
      </c>
      <c r="L848">
        <v>19.43</v>
      </c>
      <c r="M848">
        <v>5469883</v>
      </c>
      <c r="N848">
        <v>5448616</v>
      </c>
      <c r="O848">
        <v>0</v>
      </c>
      <c r="P848">
        <v>0</v>
      </c>
      <c r="Q848">
        <v>5065800</v>
      </c>
      <c r="R848">
        <v>5009300</v>
      </c>
      <c r="S848">
        <v>1545662</v>
      </c>
      <c r="T848">
        <v>1459804</v>
      </c>
      <c r="U848">
        <v>0</v>
      </c>
      <c r="V848">
        <v>0</v>
      </c>
      <c r="W848">
        <v>0</v>
      </c>
      <c r="X848">
        <v>0</v>
      </c>
      <c r="Y848">
        <v>10612514</v>
      </c>
      <c r="Z848">
        <v>10629555</v>
      </c>
      <c r="AA848">
        <f t="shared" si="27"/>
        <v>-56500</v>
      </c>
      <c r="AB848">
        <f t="shared" si="26"/>
        <v>-1.1153223577717242</v>
      </c>
    </row>
    <row r="849" spans="1:28">
      <c r="A849" t="s">
        <v>40</v>
      </c>
      <c r="B849" s="2">
        <v>45597</v>
      </c>
      <c r="C849" s="2">
        <v>45566</v>
      </c>
      <c r="E849">
        <v>79313960</v>
      </c>
      <c r="F849">
        <v>79251043</v>
      </c>
      <c r="G849">
        <v>-62917</v>
      </c>
      <c r="H849">
        <v>83.37</v>
      </c>
      <c r="I849">
        <v>1140000</v>
      </c>
      <c r="J849" t="s">
        <v>29</v>
      </c>
      <c r="K849">
        <v>82.28</v>
      </c>
      <c r="L849">
        <v>83.42</v>
      </c>
      <c r="M849">
        <v>16408516</v>
      </c>
      <c r="N849">
        <v>16305289</v>
      </c>
      <c r="O849">
        <v>0</v>
      </c>
      <c r="P849">
        <v>0</v>
      </c>
      <c r="Q849">
        <v>14479494</v>
      </c>
      <c r="R849">
        <v>14225490</v>
      </c>
      <c r="S849">
        <v>5136269</v>
      </c>
      <c r="T849">
        <v>5141934</v>
      </c>
      <c r="U849">
        <v>0</v>
      </c>
      <c r="V849">
        <v>0</v>
      </c>
      <c r="W849">
        <v>0</v>
      </c>
      <c r="X849">
        <v>0</v>
      </c>
      <c r="Y849">
        <v>43289681</v>
      </c>
      <c r="Z849">
        <v>43578330</v>
      </c>
      <c r="AA849">
        <f t="shared" si="27"/>
        <v>-254004</v>
      </c>
      <c r="AB849">
        <f t="shared" si="26"/>
        <v>-1.7542325719393232</v>
      </c>
    </row>
    <row r="850" spans="1:28">
      <c r="A850" t="s">
        <v>41</v>
      </c>
      <c r="B850" s="2">
        <v>45597</v>
      </c>
      <c r="C850" s="2">
        <v>45566</v>
      </c>
      <c r="E850">
        <v>91336905</v>
      </c>
      <c r="F850">
        <v>90810967</v>
      </c>
      <c r="G850">
        <v>-525938</v>
      </c>
      <c r="H850">
        <v>91.07</v>
      </c>
      <c r="I850">
        <v>990000</v>
      </c>
      <c r="J850" t="s">
        <v>29</v>
      </c>
      <c r="K850">
        <v>85.95</v>
      </c>
      <c r="L850">
        <v>86.94</v>
      </c>
      <c r="M850">
        <v>22377901</v>
      </c>
      <c r="N850">
        <v>22291217</v>
      </c>
      <c r="O850">
        <v>0</v>
      </c>
      <c r="P850">
        <v>0</v>
      </c>
      <c r="Q850">
        <v>21203996</v>
      </c>
      <c r="R850">
        <v>20957137</v>
      </c>
      <c r="S850">
        <v>5777662</v>
      </c>
      <c r="T850">
        <v>5597750</v>
      </c>
      <c r="U850">
        <v>0</v>
      </c>
      <c r="V850">
        <v>0</v>
      </c>
      <c r="W850">
        <v>0</v>
      </c>
      <c r="X850">
        <v>0</v>
      </c>
      <c r="Y850">
        <v>41977346</v>
      </c>
      <c r="Z850">
        <v>41964863</v>
      </c>
      <c r="AA850">
        <f t="shared" si="27"/>
        <v>-246859</v>
      </c>
      <c r="AB850">
        <f t="shared" si="26"/>
        <v>-1.1642098027183179</v>
      </c>
    </row>
    <row r="851" spans="1:28">
      <c r="A851" t="s">
        <v>42</v>
      </c>
      <c r="B851" s="2">
        <v>45597</v>
      </c>
      <c r="C851" s="2">
        <v>45566</v>
      </c>
      <c r="E851">
        <v>33909288</v>
      </c>
      <c r="F851">
        <v>33709403</v>
      </c>
      <c r="G851">
        <v>-199885</v>
      </c>
      <c r="H851">
        <v>69.48</v>
      </c>
      <c r="I851">
        <v>250000</v>
      </c>
      <c r="J851" t="s">
        <v>29</v>
      </c>
      <c r="K851">
        <v>34.9</v>
      </c>
      <c r="L851">
        <v>35.15</v>
      </c>
      <c r="M851">
        <v>10067105</v>
      </c>
      <c r="N851">
        <v>10017055</v>
      </c>
      <c r="O851">
        <v>0</v>
      </c>
      <c r="P851">
        <v>11</v>
      </c>
      <c r="Q851">
        <v>10710796</v>
      </c>
      <c r="R851">
        <v>10722373</v>
      </c>
      <c r="S851">
        <v>0</v>
      </c>
      <c r="T851">
        <v>0</v>
      </c>
      <c r="U851">
        <v>0</v>
      </c>
      <c r="V851">
        <v>0</v>
      </c>
      <c r="W851">
        <v>220214</v>
      </c>
      <c r="X851">
        <v>217541</v>
      </c>
      <c r="Y851">
        <v>12911173</v>
      </c>
      <c r="Z851">
        <v>12752423</v>
      </c>
      <c r="AA851">
        <f t="shared" si="27"/>
        <v>11577</v>
      </c>
      <c r="AB851">
        <f t="shared" si="26"/>
        <v>0.10808720472315969</v>
      </c>
    </row>
    <row r="852" spans="1:28">
      <c r="A852" t="s">
        <v>43</v>
      </c>
      <c r="B852" s="2">
        <v>45597</v>
      </c>
      <c r="C852" s="2">
        <v>45566</v>
      </c>
      <c r="E852">
        <v>12400212</v>
      </c>
      <c r="F852">
        <v>12378395</v>
      </c>
      <c r="G852">
        <v>-21817</v>
      </c>
      <c r="H852">
        <v>94.53</v>
      </c>
      <c r="I852">
        <v>20000</v>
      </c>
      <c r="J852" t="s">
        <v>29</v>
      </c>
      <c r="K852">
        <v>2.4300000000000002</v>
      </c>
      <c r="L852">
        <v>2.4500000000000002</v>
      </c>
      <c r="M852">
        <v>6267645</v>
      </c>
      <c r="N852">
        <v>6255114</v>
      </c>
      <c r="O852">
        <v>0</v>
      </c>
      <c r="P852">
        <v>0</v>
      </c>
      <c r="Q852">
        <v>678360</v>
      </c>
      <c r="R852">
        <v>666730</v>
      </c>
      <c r="S852">
        <v>1292344</v>
      </c>
      <c r="T852">
        <v>1290175</v>
      </c>
      <c r="U852">
        <v>0</v>
      </c>
      <c r="V852">
        <v>0</v>
      </c>
      <c r="W852">
        <v>0</v>
      </c>
      <c r="X852">
        <v>0</v>
      </c>
      <c r="Y852">
        <v>4161863</v>
      </c>
      <c r="Z852">
        <v>4166376</v>
      </c>
      <c r="AA852">
        <f t="shared" si="27"/>
        <v>-11630</v>
      </c>
      <c r="AB852">
        <f t="shared" si="26"/>
        <v>-1.7144289167993396</v>
      </c>
    </row>
    <row r="853" spans="1:28">
      <c r="A853" t="s">
        <v>44</v>
      </c>
      <c r="B853" s="2">
        <v>45597</v>
      </c>
      <c r="C853" s="2">
        <v>45566</v>
      </c>
      <c r="E853">
        <v>34113766</v>
      </c>
      <c r="F853">
        <v>34187947</v>
      </c>
      <c r="G853">
        <v>74181</v>
      </c>
      <c r="H853">
        <v>90.7</v>
      </c>
      <c r="I853">
        <v>210000</v>
      </c>
      <c r="J853" t="s">
        <v>29</v>
      </c>
      <c r="K853">
        <v>18.45</v>
      </c>
      <c r="L853">
        <v>18.66</v>
      </c>
      <c r="M853">
        <v>11745462</v>
      </c>
      <c r="N853">
        <v>11719282</v>
      </c>
      <c r="O853">
        <v>0</v>
      </c>
      <c r="P853">
        <v>0</v>
      </c>
      <c r="Q853">
        <v>1389017</v>
      </c>
      <c r="R853">
        <v>1382612</v>
      </c>
      <c r="S853">
        <v>5548276</v>
      </c>
      <c r="T853">
        <v>5563824</v>
      </c>
      <c r="U853">
        <v>0</v>
      </c>
      <c r="V853">
        <v>0</v>
      </c>
      <c r="W853">
        <v>0</v>
      </c>
      <c r="X853">
        <v>0</v>
      </c>
      <c r="Y853">
        <v>15431011</v>
      </c>
      <c r="Z853">
        <v>15522229</v>
      </c>
      <c r="AA853">
        <f t="shared" si="27"/>
        <v>-6405</v>
      </c>
      <c r="AB853">
        <f t="shared" si="26"/>
        <v>-0.46111746652488778</v>
      </c>
    </row>
    <row r="854" spans="1:28">
      <c r="A854" t="s">
        <v>45</v>
      </c>
      <c r="B854" s="2">
        <v>45597</v>
      </c>
      <c r="C854" s="2">
        <v>45566</v>
      </c>
      <c r="E854">
        <v>34097749</v>
      </c>
      <c r="F854">
        <v>33893501</v>
      </c>
      <c r="G854">
        <v>-204248</v>
      </c>
      <c r="H854">
        <v>89.45</v>
      </c>
      <c r="I854">
        <v>300000</v>
      </c>
      <c r="J854" t="s">
        <v>29</v>
      </c>
      <c r="K854">
        <v>34.71</v>
      </c>
      <c r="L854">
        <v>35.01</v>
      </c>
      <c r="M854">
        <v>12413856</v>
      </c>
      <c r="N854">
        <v>12322078</v>
      </c>
      <c r="O854">
        <v>0</v>
      </c>
      <c r="P854">
        <v>5</v>
      </c>
      <c r="Q854">
        <v>6205616</v>
      </c>
      <c r="R854">
        <v>6161777</v>
      </c>
      <c r="S854">
        <v>4192814</v>
      </c>
      <c r="T854">
        <v>4140544</v>
      </c>
      <c r="U854">
        <v>0</v>
      </c>
      <c r="V854">
        <v>0</v>
      </c>
      <c r="W854">
        <v>0</v>
      </c>
      <c r="X854">
        <v>0</v>
      </c>
      <c r="Y854">
        <v>11285463</v>
      </c>
      <c r="Z854">
        <v>11269097</v>
      </c>
      <c r="AA854">
        <f t="shared" si="27"/>
        <v>-43839</v>
      </c>
      <c r="AB854">
        <f t="shared" si="26"/>
        <v>-0.70644074657536016</v>
      </c>
    </row>
    <row r="855" spans="1:28">
      <c r="A855" t="s">
        <v>46</v>
      </c>
      <c r="B855" s="2">
        <v>45597</v>
      </c>
      <c r="C855" s="2">
        <v>45566</v>
      </c>
      <c r="E855">
        <v>64526032</v>
      </c>
      <c r="F855">
        <v>64178301</v>
      </c>
      <c r="G855">
        <v>-347731</v>
      </c>
      <c r="H855">
        <v>90.36</v>
      </c>
      <c r="I855">
        <v>620000</v>
      </c>
      <c r="J855" t="s">
        <v>29</v>
      </c>
      <c r="K855">
        <v>71.180000000000007</v>
      </c>
      <c r="L855">
        <v>71.8</v>
      </c>
      <c r="M855">
        <v>23092425</v>
      </c>
      <c r="N855">
        <v>22981843</v>
      </c>
      <c r="O855">
        <v>0</v>
      </c>
      <c r="P855">
        <v>89</v>
      </c>
      <c r="Q855">
        <v>9586222</v>
      </c>
      <c r="R855">
        <v>9446954</v>
      </c>
      <c r="S855">
        <v>5602409</v>
      </c>
      <c r="T855">
        <v>5603503</v>
      </c>
      <c r="U855">
        <v>0</v>
      </c>
      <c r="V855">
        <v>0</v>
      </c>
      <c r="W855">
        <v>0</v>
      </c>
      <c r="X855">
        <v>0</v>
      </c>
      <c r="Y855">
        <v>26244976</v>
      </c>
      <c r="Z855">
        <v>26145912</v>
      </c>
      <c r="AA855">
        <f t="shared" si="27"/>
        <v>-139268</v>
      </c>
      <c r="AB855">
        <f t="shared" si="26"/>
        <v>-1.4527933945197598</v>
      </c>
    </row>
    <row r="856" spans="1:28">
      <c r="A856" t="s">
        <v>47</v>
      </c>
      <c r="B856" s="2">
        <v>45597</v>
      </c>
      <c r="C856" s="2">
        <v>45566</v>
      </c>
      <c r="E856">
        <v>77563247</v>
      </c>
      <c r="F856">
        <v>77476830</v>
      </c>
      <c r="G856">
        <v>-86417</v>
      </c>
      <c r="H856">
        <v>87.67</v>
      </c>
      <c r="I856">
        <v>600000</v>
      </c>
      <c r="J856" t="s">
        <v>29</v>
      </c>
      <c r="K856">
        <v>66.319999999999993</v>
      </c>
      <c r="L856">
        <v>66.92</v>
      </c>
      <c r="M856">
        <v>29862485</v>
      </c>
      <c r="N856">
        <v>29787706</v>
      </c>
      <c r="O856">
        <v>0</v>
      </c>
      <c r="P856">
        <v>0</v>
      </c>
      <c r="Q856">
        <v>15084404</v>
      </c>
      <c r="R856">
        <v>15040723</v>
      </c>
      <c r="S856">
        <v>7797945</v>
      </c>
      <c r="T856">
        <v>7813641</v>
      </c>
      <c r="U856">
        <v>206894</v>
      </c>
      <c r="V856">
        <v>212011</v>
      </c>
      <c r="W856">
        <v>0</v>
      </c>
      <c r="X856">
        <v>0</v>
      </c>
      <c r="Y856">
        <v>24611519</v>
      </c>
      <c r="Z856">
        <v>24622749</v>
      </c>
      <c r="AA856">
        <f t="shared" si="27"/>
        <v>-43681</v>
      </c>
      <c r="AB856">
        <f t="shared" si="26"/>
        <v>-0.28957723487119541</v>
      </c>
    </row>
    <row r="857" spans="1:28">
      <c r="A857" t="s">
        <v>48</v>
      </c>
      <c r="B857" s="2">
        <v>45597</v>
      </c>
      <c r="C857" s="2">
        <v>45566</v>
      </c>
      <c r="E857">
        <v>100897129</v>
      </c>
      <c r="F857">
        <v>101010525</v>
      </c>
      <c r="G857">
        <v>113396</v>
      </c>
      <c r="H857">
        <v>88.47</v>
      </c>
      <c r="I857">
        <v>1860000</v>
      </c>
      <c r="J857" t="s">
        <v>29</v>
      </c>
      <c r="K857">
        <v>102.49</v>
      </c>
      <c r="L857">
        <v>104.35</v>
      </c>
      <c r="M857">
        <v>36229144</v>
      </c>
      <c r="N857">
        <v>36139722</v>
      </c>
      <c r="O857">
        <v>0</v>
      </c>
      <c r="P857">
        <v>0</v>
      </c>
      <c r="Q857">
        <v>16318731</v>
      </c>
      <c r="R857">
        <v>16161262</v>
      </c>
      <c r="S857">
        <v>8373386</v>
      </c>
      <c r="T857">
        <v>8362471</v>
      </c>
      <c r="U857">
        <v>0</v>
      </c>
      <c r="V857">
        <v>0</v>
      </c>
      <c r="W857">
        <v>0</v>
      </c>
      <c r="X857">
        <v>0</v>
      </c>
      <c r="Y857">
        <v>39975868</v>
      </c>
      <c r="Z857">
        <v>40347070</v>
      </c>
      <c r="AA857">
        <f t="shared" si="27"/>
        <v>-157469</v>
      </c>
      <c r="AB857">
        <f t="shared" si="26"/>
        <v>-0.96495861105866632</v>
      </c>
    </row>
    <row r="858" spans="1:28">
      <c r="A858" t="s">
        <v>49</v>
      </c>
      <c r="B858" s="2">
        <v>45597</v>
      </c>
      <c r="C858" s="2">
        <v>45566</v>
      </c>
      <c r="E858">
        <v>62507342</v>
      </c>
      <c r="F858">
        <v>62467786</v>
      </c>
      <c r="G858">
        <v>-39556</v>
      </c>
      <c r="H858">
        <v>88.64</v>
      </c>
      <c r="I858">
        <v>1250000</v>
      </c>
      <c r="J858" t="s">
        <v>29</v>
      </c>
      <c r="K858">
        <v>77.34</v>
      </c>
      <c r="L858">
        <v>78.59</v>
      </c>
      <c r="M858">
        <v>18802873</v>
      </c>
      <c r="N858">
        <v>18666890</v>
      </c>
      <c r="O858">
        <v>0</v>
      </c>
      <c r="P858">
        <v>0</v>
      </c>
      <c r="Q858">
        <v>14819932</v>
      </c>
      <c r="R858">
        <v>14694545</v>
      </c>
      <c r="S858">
        <v>5343136</v>
      </c>
      <c r="T858">
        <v>5321946</v>
      </c>
      <c r="U858">
        <v>0</v>
      </c>
      <c r="V858">
        <v>0</v>
      </c>
      <c r="W858">
        <v>0</v>
      </c>
      <c r="X858">
        <v>0</v>
      </c>
      <c r="Y858">
        <v>23541401</v>
      </c>
      <c r="Z858">
        <v>23784405</v>
      </c>
      <c r="AA858">
        <f t="shared" si="27"/>
        <v>-125387</v>
      </c>
      <c r="AB858">
        <f t="shared" si="26"/>
        <v>-0.84607000895820572</v>
      </c>
    </row>
    <row r="859" spans="1:28">
      <c r="A859" t="s">
        <v>50</v>
      </c>
      <c r="B859" s="2">
        <v>45597</v>
      </c>
      <c r="C859" s="2">
        <v>45566</v>
      </c>
      <c r="E859">
        <v>56977471</v>
      </c>
      <c r="F859">
        <v>56871001</v>
      </c>
      <c r="G859">
        <v>-106470</v>
      </c>
      <c r="H859">
        <v>86.97</v>
      </c>
      <c r="I859">
        <v>1000000</v>
      </c>
      <c r="J859" t="s">
        <v>29</v>
      </c>
      <c r="K859">
        <v>61.68</v>
      </c>
      <c r="L859">
        <v>62.68</v>
      </c>
      <c r="M859">
        <v>18189381</v>
      </c>
      <c r="N859">
        <v>18154925</v>
      </c>
      <c r="O859">
        <v>0</v>
      </c>
      <c r="P859">
        <v>4</v>
      </c>
      <c r="Q859">
        <v>12298014</v>
      </c>
      <c r="R859">
        <v>12151771</v>
      </c>
      <c r="S859">
        <v>2721928</v>
      </c>
      <c r="T859">
        <v>2693571</v>
      </c>
      <c r="U859">
        <v>0</v>
      </c>
      <c r="V859">
        <v>0</v>
      </c>
      <c r="W859">
        <v>0</v>
      </c>
      <c r="X859">
        <v>0</v>
      </c>
      <c r="Y859">
        <v>23768148</v>
      </c>
      <c r="Z859">
        <v>23870730</v>
      </c>
      <c r="AA859">
        <f t="shared" si="27"/>
        <v>-146243</v>
      </c>
      <c r="AB859">
        <f t="shared" si="26"/>
        <v>-1.1891594854258583</v>
      </c>
    </row>
    <row r="860" spans="1:28">
      <c r="A860" t="s">
        <v>28</v>
      </c>
      <c r="B860" s="2">
        <v>45627</v>
      </c>
      <c r="C860" s="2">
        <v>45597</v>
      </c>
      <c r="D860" s="2">
        <v>45727</v>
      </c>
      <c r="E860">
        <v>82348097</v>
      </c>
      <c r="F860">
        <v>82508679</v>
      </c>
      <c r="G860">
        <v>160582</v>
      </c>
      <c r="H860">
        <v>90.38</v>
      </c>
      <c r="I860">
        <v>670000</v>
      </c>
      <c r="J860" t="s">
        <v>29</v>
      </c>
      <c r="K860">
        <v>70.19</v>
      </c>
      <c r="L860">
        <v>70.86</v>
      </c>
      <c r="M860">
        <v>33686681</v>
      </c>
      <c r="N860">
        <v>33765442</v>
      </c>
      <c r="O860">
        <v>0</v>
      </c>
      <c r="P860">
        <v>0</v>
      </c>
      <c r="Q860">
        <v>10138599</v>
      </c>
      <c r="R860">
        <v>10031734</v>
      </c>
      <c r="S860">
        <v>6799880</v>
      </c>
      <c r="T860">
        <v>6825411</v>
      </c>
      <c r="U860">
        <v>0</v>
      </c>
      <c r="V860">
        <v>0</v>
      </c>
      <c r="W860">
        <v>0</v>
      </c>
      <c r="X860">
        <v>0</v>
      </c>
      <c r="Y860">
        <v>31722937</v>
      </c>
      <c r="Z860">
        <v>31886092</v>
      </c>
      <c r="AA860">
        <f t="shared" si="27"/>
        <v>-106865</v>
      </c>
      <c r="AB860">
        <f t="shared" si="26"/>
        <v>-1.0540410958160984</v>
      </c>
    </row>
    <row r="861" spans="1:28">
      <c r="A861" t="s">
        <v>30</v>
      </c>
      <c r="B861" s="2">
        <v>45627</v>
      </c>
      <c r="C861" s="2">
        <v>45597</v>
      </c>
      <c r="D861" s="2">
        <v>45727</v>
      </c>
      <c r="E861">
        <v>26028039</v>
      </c>
      <c r="F861">
        <v>26077704</v>
      </c>
      <c r="G861">
        <v>49665</v>
      </c>
      <c r="H861">
        <v>91.96</v>
      </c>
      <c r="I861">
        <v>110000</v>
      </c>
      <c r="J861" t="s">
        <v>29</v>
      </c>
      <c r="K861">
        <v>7.78</v>
      </c>
      <c r="L861">
        <v>7.89</v>
      </c>
      <c r="M861">
        <v>11886126</v>
      </c>
      <c r="N861">
        <v>11914048</v>
      </c>
      <c r="O861">
        <v>0</v>
      </c>
      <c r="P861">
        <v>0</v>
      </c>
      <c r="Q861">
        <v>1436362</v>
      </c>
      <c r="R861">
        <v>1438865</v>
      </c>
      <c r="S861">
        <v>2990873</v>
      </c>
      <c r="T861">
        <v>2992345</v>
      </c>
      <c r="U861">
        <v>0</v>
      </c>
      <c r="V861">
        <v>0</v>
      </c>
      <c r="W861">
        <v>0</v>
      </c>
      <c r="X861">
        <v>0</v>
      </c>
      <c r="Y861">
        <v>9714678</v>
      </c>
      <c r="Z861">
        <v>9732446</v>
      </c>
      <c r="AA861">
        <f t="shared" si="27"/>
        <v>2503</v>
      </c>
      <c r="AB861">
        <f t="shared" si="26"/>
        <v>0.17425969219458604</v>
      </c>
    </row>
    <row r="862" spans="1:28">
      <c r="A862" t="s">
        <v>31</v>
      </c>
      <c r="B862" s="2">
        <v>45627</v>
      </c>
      <c r="C862" s="2">
        <v>45597</v>
      </c>
      <c r="D862" s="2">
        <v>45727</v>
      </c>
      <c r="E862">
        <v>94537349</v>
      </c>
      <c r="F862">
        <v>94864427</v>
      </c>
      <c r="G862">
        <v>327078</v>
      </c>
      <c r="H862">
        <v>83.99</v>
      </c>
      <c r="I862">
        <v>1040000</v>
      </c>
      <c r="J862" t="s">
        <v>29</v>
      </c>
      <c r="K862">
        <v>60.86</v>
      </c>
      <c r="L862">
        <v>61.9</v>
      </c>
      <c r="M862">
        <v>40510920</v>
      </c>
      <c r="N862">
        <v>40498909</v>
      </c>
      <c r="O862">
        <v>0</v>
      </c>
      <c r="P862">
        <v>1</v>
      </c>
      <c r="Q862">
        <v>7454845</v>
      </c>
      <c r="R862">
        <v>7485493</v>
      </c>
      <c r="S862">
        <v>5977315</v>
      </c>
      <c r="T862">
        <v>5966507</v>
      </c>
      <c r="U862">
        <v>0</v>
      </c>
      <c r="V862">
        <v>0</v>
      </c>
      <c r="W862">
        <v>0</v>
      </c>
      <c r="X862">
        <v>0</v>
      </c>
      <c r="Y862">
        <v>40594269</v>
      </c>
      <c r="Z862">
        <v>40913517</v>
      </c>
      <c r="AA862">
        <f t="shared" si="27"/>
        <v>30648</v>
      </c>
      <c r="AB862">
        <f t="shared" si="26"/>
        <v>0.41111518750557524</v>
      </c>
    </row>
    <row r="863" spans="1:28">
      <c r="A863" t="s">
        <v>32</v>
      </c>
      <c r="B863" s="2">
        <v>45627</v>
      </c>
      <c r="C863" s="2">
        <v>45597</v>
      </c>
      <c r="D863" s="2">
        <v>45727</v>
      </c>
      <c r="E863">
        <v>56488880</v>
      </c>
      <c r="F863">
        <v>55725198</v>
      </c>
      <c r="G863">
        <v>-763682</v>
      </c>
      <c r="H863">
        <v>54.93</v>
      </c>
      <c r="I863">
        <v>600000</v>
      </c>
      <c r="J863" t="s">
        <v>29</v>
      </c>
      <c r="K863">
        <v>50.82</v>
      </c>
      <c r="L863">
        <v>51.42</v>
      </c>
      <c r="M863">
        <v>18362907</v>
      </c>
      <c r="N863">
        <v>18434020</v>
      </c>
      <c r="O863">
        <v>1</v>
      </c>
      <c r="P863">
        <v>20</v>
      </c>
      <c r="Q863">
        <v>16808326</v>
      </c>
      <c r="R863">
        <v>16743346</v>
      </c>
      <c r="S863">
        <v>0</v>
      </c>
      <c r="T863">
        <v>0</v>
      </c>
      <c r="U863">
        <v>0</v>
      </c>
      <c r="V863">
        <v>0</v>
      </c>
      <c r="W863">
        <v>1684377</v>
      </c>
      <c r="X863">
        <v>789707</v>
      </c>
      <c r="Y863">
        <v>19633269</v>
      </c>
      <c r="Z863">
        <v>19758105</v>
      </c>
      <c r="AA863">
        <f t="shared" si="27"/>
        <v>-64980</v>
      </c>
      <c r="AB863">
        <f t="shared" si="26"/>
        <v>-0.38659412008072663</v>
      </c>
    </row>
    <row r="864" spans="1:28">
      <c r="A864" t="s">
        <v>33</v>
      </c>
      <c r="B864" s="2">
        <v>45627</v>
      </c>
      <c r="C864" s="2">
        <v>45597</v>
      </c>
      <c r="D864" s="2">
        <v>45727</v>
      </c>
      <c r="E864">
        <v>64858129</v>
      </c>
      <c r="F864">
        <v>64965390</v>
      </c>
      <c r="G864">
        <v>107261</v>
      </c>
      <c r="H864">
        <v>91.83</v>
      </c>
      <c r="I864">
        <v>970000</v>
      </c>
      <c r="J864" t="s">
        <v>29</v>
      </c>
      <c r="K864">
        <v>72.45</v>
      </c>
      <c r="L864">
        <v>73.42</v>
      </c>
      <c r="M864">
        <v>12139442</v>
      </c>
      <c r="N864">
        <v>12206886</v>
      </c>
      <c r="O864">
        <v>16</v>
      </c>
      <c r="P864">
        <v>0</v>
      </c>
      <c r="Q864">
        <v>19815105</v>
      </c>
      <c r="R864">
        <v>19683954</v>
      </c>
      <c r="S864">
        <v>3326904</v>
      </c>
      <c r="T864">
        <v>3318309</v>
      </c>
      <c r="U864">
        <v>0</v>
      </c>
      <c r="V864">
        <v>0</v>
      </c>
      <c r="W864">
        <v>0</v>
      </c>
      <c r="X864">
        <v>0</v>
      </c>
      <c r="Y864">
        <v>29576662</v>
      </c>
      <c r="Z864">
        <v>29756241</v>
      </c>
      <c r="AA864">
        <f t="shared" si="27"/>
        <v>-131151</v>
      </c>
      <c r="AB864">
        <f t="shared" si="26"/>
        <v>-0.66187385835199963</v>
      </c>
    </row>
    <row r="865" spans="1:28">
      <c r="A865" t="s">
        <v>34</v>
      </c>
      <c r="B865" s="2">
        <v>45627</v>
      </c>
      <c r="C865" s="2">
        <v>45597</v>
      </c>
      <c r="D865" s="2">
        <v>45727</v>
      </c>
      <c r="E865">
        <v>25930591</v>
      </c>
      <c r="F865">
        <v>25947667</v>
      </c>
      <c r="G865">
        <v>17076</v>
      </c>
      <c r="H865">
        <v>91.96</v>
      </c>
      <c r="I865">
        <v>400000</v>
      </c>
      <c r="J865" t="s">
        <v>29</v>
      </c>
      <c r="K865">
        <v>33.590000000000003</v>
      </c>
      <c r="L865">
        <v>33.99</v>
      </c>
      <c r="M865">
        <v>7036790</v>
      </c>
      <c r="N865">
        <v>7061216</v>
      </c>
      <c r="O865">
        <v>0</v>
      </c>
      <c r="P865">
        <v>0</v>
      </c>
      <c r="Q865">
        <v>6454877</v>
      </c>
      <c r="R865">
        <v>6402674</v>
      </c>
      <c r="S865">
        <v>4131662</v>
      </c>
      <c r="T865">
        <v>4159824</v>
      </c>
      <c r="U865">
        <v>0</v>
      </c>
      <c r="V865">
        <v>0</v>
      </c>
      <c r="W865">
        <v>0</v>
      </c>
      <c r="X865">
        <v>0</v>
      </c>
      <c r="Y865">
        <v>8307262</v>
      </c>
      <c r="Z865">
        <v>8323953</v>
      </c>
      <c r="AA865">
        <f t="shared" si="27"/>
        <v>-52203</v>
      </c>
      <c r="AB865">
        <f t="shared" si="26"/>
        <v>-0.80873733147819848</v>
      </c>
    </row>
    <row r="866" spans="1:28">
      <c r="A866" t="s">
        <v>35</v>
      </c>
      <c r="B866" s="2">
        <v>45627</v>
      </c>
      <c r="C866" s="2">
        <v>45597</v>
      </c>
      <c r="D866" s="2">
        <v>45727</v>
      </c>
      <c r="E866">
        <v>8804745</v>
      </c>
      <c r="F866">
        <v>8825306</v>
      </c>
      <c r="G866">
        <v>20561</v>
      </c>
      <c r="H866">
        <v>104.68</v>
      </c>
      <c r="I866">
        <v>50000</v>
      </c>
      <c r="J866" t="s">
        <v>29</v>
      </c>
      <c r="K866">
        <v>4.5</v>
      </c>
      <c r="L866">
        <v>4.55</v>
      </c>
      <c r="M866">
        <v>3545058</v>
      </c>
      <c r="N866">
        <v>3548882</v>
      </c>
      <c r="O866">
        <v>0</v>
      </c>
      <c r="P866">
        <v>0</v>
      </c>
      <c r="Q866">
        <v>380490</v>
      </c>
      <c r="R866">
        <v>377601</v>
      </c>
      <c r="S866">
        <v>1658686</v>
      </c>
      <c r="T866">
        <v>1666376</v>
      </c>
      <c r="U866">
        <v>0</v>
      </c>
      <c r="V866">
        <v>0</v>
      </c>
      <c r="W866">
        <v>0</v>
      </c>
      <c r="X866">
        <v>0</v>
      </c>
      <c r="Y866">
        <v>3220511</v>
      </c>
      <c r="Z866">
        <v>3232447</v>
      </c>
      <c r="AA866">
        <f t="shared" si="27"/>
        <v>-2889</v>
      </c>
      <c r="AB866">
        <f t="shared" si="26"/>
        <v>-0.75928408105337852</v>
      </c>
    </row>
    <row r="867" spans="1:28">
      <c r="A867" t="s">
        <v>36</v>
      </c>
      <c r="B867" s="2">
        <v>45627</v>
      </c>
      <c r="C867" s="2">
        <v>45597</v>
      </c>
      <c r="D867" s="2">
        <v>45727</v>
      </c>
      <c r="E867">
        <v>12133600</v>
      </c>
      <c r="F867">
        <v>12156294</v>
      </c>
      <c r="G867">
        <v>22694</v>
      </c>
      <c r="H867">
        <v>83.53</v>
      </c>
      <c r="I867">
        <v>60000</v>
      </c>
      <c r="J867" t="s">
        <v>29</v>
      </c>
      <c r="K867">
        <v>2.97</v>
      </c>
      <c r="L867">
        <v>3.03</v>
      </c>
      <c r="M867">
        <v>6100700</v>
      </c>
      <c r="N867">
        <v>6108668</v>
      </c>
      <c r="O867">
        <v>0</v>
      </c>
      <c r="P867">
        <v>0</v>
      </c>
      <c r="Q867">
        <v>261339</v>
      </c>
      <c r="R867">
        <v>262621</v>
      </c>
      <c r="S867">
        <v>874481</v>
      </c>
      <c r="T867">
        <v>872157</v>
      </c>
      <c r="U867">
        <v>0</v>
      </c>
      <c r="V867">
        <v>0</v>
      </c>
      <c r="W867">
        <v>0</v>
      </c>
      <c r="X867">
        <v>0</v>
      </c>
      <c r="Y867">
        <v>4897080</v>
      </c>
      <c r="Z867">
        <v>4912848</v>
      </c>
      <c r="AA867">
        <f t="shared" si="27"/>
        <v>1282</v>
      </c>
      <c r="AB867">
        <f t="shared" si="26"/>
        <v>0.49055058755103526</v>
      </c>
    </row>
    <row r="868" spans="1:28">
      <c r="A868" t="s">
        <v>37</v>
      </c>
      <c r="B868" s="2">
        <v>45627</v>
      </c>
      <c r="C868" s="2">
        <v>45597</v>
      </c>
      <c r="D868" s="2">
        <v>45727</v>
      </c>
      <c r="E868">
        <v>67421266</v>
      </c>
      <c r="F868">
        <v>67874969</v>
      </c>
      <c r="G868">
        <v>453703</v>
      </c>
      <c r="H868">
        <v>74.98</v>
      </c>
      <c r="I868">
        <v>570000</v>
      </c>
      <c r="J868" t="s">
        <v>29</v>
      </c>
      <c r="K868">
        <v>71.37</v>
      </c>
      <c r="L868">
        <v>71.94</v>
      </c>
      <c r="M868">
        <v>32123159</v>
      </c>
      <c r="N868">
        <v>32177739</v>
      </c>
      <c r="O868">
        <v>214</v>
      </c>
      <c r="P868">
        <v>339</v>
      </c>
      <c r="Q868">
        <v>6494622</v>
      </c>
      <c r="R868">
        <v>6599552</v>
      </c>
      <c r="S868">
        <v>4575413</v>
      </c>
      <c r="T868">
        <v>4571164</v>
      </c>
      <c r="U868">
        <v>0</v>
      </c>
      <c r="V868">
        <v>0</v>
      </c>
      <c r="W868">
        <v>0</v>
      </c>
      <c r="X868">
        <v>0</v>
      </c>
      <c r="Y868">
        <v>24227858</v>
      </c>
      <c r="Z868">
        <v>24526175</v>
      </c>
      <c r="AA868">
        <f t="shared" si="27"/>
        <v>104930</v>
      </c>
      <c r="AB868">
        <f t="shared" si="26"/>
        <v>1.6156444516709365</v>
      </c>
    </row>
    <row r="869" spans="1:28">
      <c r="A869" t="s">
        <v>38</v>
      </c>
      <c r="B869" s="2">
        <v>45627</v>
      </c>
      <c r="C869" s="2">
        <v>45597</v>
      </c>
      <c r="D869" s="2">
        <v>45727</v>
      </c>
      <c r="E869">
        <v>41313241</v>
      </c>
      <c r="F869">
        <v>41288584</v>
      </c>
      <c r="G869">
        <v>-24657</v>
      </c>
      <c r="H869">
        <v>94.19</v>
      </c>
      <c r="I869">
        <v>250000</v>
      </c>
      <c r="J869" t="s">
        <v>29</v>
      </c>
      <c r="K869">
        <v>25.4</v>
      </c>
      <c r="L869">
        <v>25.65</v>
      </c>
      <c r="M869">
        <v>8792441</v>
      </c>
      <c r="N869">
        <v>8816703</v>
      </c>
      <c r="O869">
        <v>0</v>
      </c>
      <c r="P869">
        <v>0</v>
      </c>
      <c r="Q869">
        <v>13109867</v>
      </c>
      <c r="R869">
        <v>13026138</v>
      </c>
      <c r="S869">
        <v>8727432</v>
      </c>
      <c r="T869">
        <v>8730042</v>
      </c>
      <c r="U869">
        <v>0</v>
      </c>
      <c r="V869">
        <v>0</v>
      </c>
      <c r="W869">
        <v>0</v>
      </c>
      <c r="X869">
        <v>0</v>
      </c>
      <c r="Y869">
        <v>10683501</v>
      </c>
      <c r="Z869">
        <v>10715701</v>
      </c>
      <c r="AA869">
        <f t="shared" si="27"/>
        <v>-83729</v>
      </c>
      <c r="AB869">
        <f t="shared" si="26"/>
        <v>-0.63867162039096204</v>
      </c>
    </row>
    <row r="870" spans="1:28">
      <c r="A870" t="s">
        <v>39</v>
      </c>
      <c r="B870" s="2">
        <v>45627</v>
      </c>
      <c r="C870" s="2">
        <v>45597</v>
      </c>
      <c r="D870" s="2">
        <v>45727</v>
      </c>
      <c r="E870">
        <v>22547275</v>
      </c>
      <c r="F870">
        <v>22559783</v>
      </c>
      <c r="G870">
        <v>12508</v>
      </c>
      <c r="H870">
        <v>87.45</v>
      </c>
      <c r="I870">
        <v>200000</v>
      </c>
      <c r="J870" t="s">
        <v>29</v>
      </c>
      <c r="K870">
        <v>19.43</v>
      </c>
      <c r="L870">
        <v>19.63</v>
      </c>
      <c r="M870">
        <v>5448616</v>
      </c>
      <c r="N870">
        <v>5445207</v>
      </c>
      <c r="O870">
        <v>0</v>
      </c>
      <c r="P870">
        <v>0</v>
      </c>
      <c r="Q870">
        <v>5009300</v>
      </c>
      <c r="R870">
        <v>4955745</v>
      </c>
      <c r="S870">
        <v>1459804</v>
      </c>
      <c r="T870">
        <v>1468367</v>
      </c>
      <c r="U870">
        <v>0</v>
      </c>
      <c r="V870">
        <v>0</v>
      </c>
      <c r="W870">
        <v>0</v>
      </c>
      <c r="X870">
        <v>0</v>
      </c>
      <c r="Y870">
        <v>10629555</v>
      </c>
      <c r="Z870">
        <v>10690464</v>
      </c>
      <c r="AA870">
        <f t="shared" si="27"/>
        <v>-53555</v>
      </c>
      <c r="AB870">
        <f t="shared" si="26"/>
        <v>-1.0691114526979817</v>
      </c>
    </row>
    <row r="871" spans="1:28">
      <c r="A871" t="s">
        <v>40</v>
      </c>
      <c r="B871" s="2">
        <v>45627</v>
      </c>
      <c r="C871" s="2">
        <v>45597</v>
      </c>
      <c r="D871" s="2">
        <v>45727</v>
      </c>
      <c r="E871">
        <v>79251043</v>
      </c>
      <c r="F871">
        <v>79820303</v>
      </c>
      <c r="G871">
        <v>569260</v>
      </c>
      <c r="H871">
        <v>83.93</v>
      </c>
      <c r="I871">
        <v>1290000</v>
      </c>
      <c r="J871" t="s">
        <v>29</v>
      </c>
      <c r="K871">
        <v>83.42</v>
      </c>
      <c r="L871">
        <v>84.71</v>
      </c>
      <c r="M871">
        <v>16305289</v>
      </c>
      <c r="N871">
        <v>16404356</v>
      </c>
      <c r="O871">
        <v>0</v>
      </c>
      <c r="P871">
        <v>0</v>
      </c>
      <c r="Q871">
        <v>14225490</v>
      </c>
      <c r="R871">
        <v>13967009</v>
      </c>
      <c r="S871">
        <v>5141934</v>
      </c>
      <c r="T871">
        <v>5134063</v>
      </c>
      <c r="U871">
        <v>0</v>
      </c>
      <c r="V871">
        <v>0</v>
      </c>
      <c r="W871">
        <v>0</v>
      </c>
      <c r="X871">
        <v>0</v>
      </c>
      <c r="Y871">
        <v>43578330</v>
      </c>
      <c r="Z871">
        <v>44314875</v>
      </c>
      <c r="AA871">
        <f t="shared" si="27"/>
        <v>-258481</v>
      </c>
      <c r="AB871">
        <f t="shared" si="26"/>
        <v>-1.8170270408963067</v>
      </c>
    </row>
    <row r="872" spans="1:28">
      <c r="A872" t="s">
        <v>41</v>
      </c>
      <c r="B872" s="2">
        <v>45627</v>
      </c>
      <c r="C872" s="2">
        <v>45597</v>
      </c>
      <c r="D872" s="2">
        <v>45727</v>
      </c>
      <c r="E872">
        <v>90810967</v>
      </c>
      <c r="F872">
        <v>90826616</v>
      </c>
      <c r="G872">
        <v>15649</v>
      </c>
      <c r="H872">
        <v>92.38</v>
      </c>
      <c r="I872">
        <v>1050000</v>
      </c>
      <c r="J872" t="s">
        <v>29</v>
      </c>
      <c r="K872">
        <v>86.94</v>
      </c>
      <c r="L872">
        <v>87.99</v>
      </c>
      <c r="M872">
        <v>22291217</v>
      </c>
      <c r="N872">
        <v>22368784</v>
      </c>
      <c r="O872">
        <v>0</v>
      </c>
      <c r="P872">
        <v>0</v>
      </c>
      <c r="Q872">
        <v>20957137</v>
      </c>
      <c r="R872">
        <v>20708127</v>
      </c>
      <c r="S872">
        <v>5597750</v>
      </c>
      <c r="T872">
        <v>5470925</v>
      </c>
      <c r="U872">
        <v>0</v>
      </c>
      <c r="V872">
        <v>0</v>
      </c>
      <c r="W872">
        <v>0</v>
      </c>
      <c r="X872">
        <v>0</v>
      </c>
      <c r="Y872">
        <v>41964863</v>
      </c>
      <c r="Z872">
        <v>42278780</v>
      </c>
      <c r="AA872">
        <f t="shared" si="27"/>
        <v>-249010</v>
      </c>
      <c r="AB872">
        <f t="shared" si="26"/>
        <v>-1.1881871078096211</v>
      </c>
    </row>
    <row r="873" spans="1:28">
      <c r="A873" t="s">
        <v>42</v>
      </c>
      <c r="B873" s="2">
        <v>45627</v>
      </c>
      <c r="C873" s="2">
        <v>45597</v>
      </c>
      <c r="D873" s="2">
        <v>45727</v>
      </c>
      <c r="E873">
        <v>33709403</v>
      </c>
      <c r="F873">
        <v>33776094</v>
      </c>
      <c r="G873">
        <v>66691</v>
      </c>
      <c r="H873">
        <v>71.31</v>
      </c>
      <c r="I873">
        <v>280000</v>
      </c>
      <c r="J873" t="s">
        <v>29</v>
      </c>
      <c r="K873">
        <v>35.15</v>
      </c>
      <c r="L873">
        <v>35.43</v>
      </c>
      <c r="M873">
        <v>10017055</v>
      </c>
      <c r="N873">
        <v>10066642</v>
      </c>
      <c r="O873">
        <v>11</v>
      </c>
      <c r="P873">
        <v>31</v>
      </c>
      <c r="Q873">
        <v>10722373</v>
      </c>
      <c r="R873">
        <v>10680874</v>
      </c>
      <c r="S873">
        <v>0</v>
      </c>
      <c r="T873">
        <v>0</v>
      </c>
      <c r="U873">
        <v>0</v>
      </c>
      <c r="V873">
        <v>0</v>
      </c>
      <c r="W873">
        <v>217541</v>
      </c>
      <c r="X873">
        <v>215223</v>
      </c>
      <c r="Y873">
        <v>12752423</v>
      </c>
      <c r="Z873">
        <v>12813324</v>
      </c>
      <c r="AA873">
        <f t="shared" si="27"/>
        <v>-41499</v>
      </c>
      <c r="AB873">
        <f t="shared" si="26"/>
        <v>-0.38703186318923993</v>
      </c>
    </row>
    <row r="874" spans="1:28">
      <c r="A874" t="s">
        <v>43</v>
      </c>
      <c r="B874" s="2">
        <v>45627</v>
      </c>
      <c r="C874" s="2">
        <v>45597</v>
      </c>
      <c r="D874" s="2">
        <v>45727</v>
      </c>
      <c r="E874">
        <v>12378395</v>
      </c>
      <c r="F874">
        <v>12442369</v>
      </c>
      <c r="G874">
        <v>63974</v>
      </c>
      <c r="H874">
        <v>95.76</v>
      </c>
      <c r="I874">
        <v>30000</v>
      </c>
      <c r="J874" t="s">
        <v>29</v>
      </c>
      <c r="K874">
        <v>2.4500000000000002</v>
      </c>
      <c r="L874">
        <v>2.48</v>
      </c>
      <c r="M874">
        <v>6255114</v>
      </c>
      <c r="N874">
        <v>6265788</v>
      </c>
      <c r="O874">
        <v>0</v>
      </c>
      <c r="P874">
        <v>0</v>
      </c>
      <c r="Q874">
        <v>666730</v>
      </c>
      <c r="R874">
        <v>659058</v>
      </c>
      <c r="S874">
        <v>1290175</v>
      </c>
      <c r="T874">
        <v>1288497</v>
      </c>
      <c r="U874">
        <v>0</v>
      </c>
      <c r="V874">
        <v>0</v>
      </c>
      <c r="W874">
        <v>0</v>
      </c>
      <c r="X874">
        <v>0</v>
      </c>
      <c r="Y874">
        <v>4166376</v>
      </c>
      <c r="Z874">
        <v>4229026</v>
      </c>
      <c r="AA874">
        <f t="shared" si="27"/>
        <v>-7672</v>
      </c>
      <c r="AB874">
        <f t="shared" si="26"/>
        <v>-1.1506906843849833</v>
      </c>
    </row>
    <row r="875" spans="1:28">
      <c r="A875" t="s">
        <v>44</v>
      </c>
      <c r="B875" s="2">
        <v>45627</v>
      </c>
      <c r="C875" s="2">
        <v>45597</v>
      </c>
      <c r="D875" s="2">
        <v>45727</v>
      </c>
      <c r="E875">
        <v>34187947</v>
      </c>
      <c r="F875">
        <v>34346098</v>
      </c>
      <c r="G875">
        <v>158151</v>
      </c>
      <c r="H875">
        <v>92.02</v>
      </c>
      <c r="I875">
        <v>210000</v>
      </c>
      <c r="J875" t="s">
        <v>29</v>
      </c>
      <c r="K875">
        <v>18.66</v>
      </c>
      <c r="L875">
        <v>18.87</v>
      </c>
      <c r="M875">
        <v>11719282</v>
      </c>
      <c r="N875">
        <v>11737705</v>
      </c>
      <c r="O875">
        <v>0</v>
      </c>
      <c r="P875">
        <v>0</v>
      </c>
      <c r="Q875">
        <v>1382612</v>
      </c>
      <c r="R875">
        <v>1378440</v>
      </c>
      <c r="S875">
        <v>5563824</v>
      </c>
      <c r="T875">
        <v>5573321</v>
      </c>
      <c r="U875">
        <v>0</v>
      </c>
      <c r="V875">
        <v>0</v>
      </c>
      <c r="W875">
        <v>0</v>
      </c>
      <c r="X875">
        <v>0</v>
      </c>
      <c r="Y875">
        <v>15522229</v>
      </c>
      <c r="Z875">
        <v>15656632</v>
      </c>
      <c r="AA875">
        <f t="shared" si="27"/>
        <v>-4172</v>
      </c>
      <c r="AB875">
        <f t="shared" si="26"/>
        <v>-0.30174770651491523</v>
      </c>
    </row>
    <row r="876" spans="1:28">
      <c r="A876" t="s">
        <v>45</v>
      </c>
      <c r="B876" s="2">
        <v>45627</v>
      </c>
      <c r="C876" s="2">
        <v>45597</v>
      </c>
      <c r="D876" s="2">
        <v>45727</v>
      </c>
      <c r="E876">
        <v>33893501</v>
      </c>
      <c r="F876">
        <v>33908115</v>
      </c>
      <c r="G876">
        <v>14614</v>
      </c>
      <c r="H876">
        <v>90.47</v>
      </c>
      <c r="I876">
        <v>330000</v>
      </c>
      <c r="J876" t="s">
        <v>29</v>
      </c>
      <c r="K876">
        <v>35.01</v>
      </c>
      <c r="L876">
        <v>35.340000000000003</v>
      </c>
      <c r="M876">
        <v>12322078</v>
      </c>
      <c r="N876">
        <v>12356021</v>
      </c>
      <c r="O876">
        <v>5</v>
      </c>
      <c r="P876">
        <v>9</v>
      </c>
      <c r="Q876">
        <v>6161777</v>
      </c>
      <c r="R876">
        <v>6103807</v>
      </c>
      <c r="S876">
        <v>4140544</v>
      </c>
      <c r="T876">
        <v>4097230</v>
      </c>
      <c r="U876">
        <v>0</v>
      </c>
      <c r="V876">
        <v>0</v>
      </c>
      <c r="W876">
        <v>0</v>
      </c>
      <c r="X876">
        <v>0</v>
      </c>
      <c r="Y876">
        <v>11269097</v>
      </c>
      <c r="Z876">
        <v>11351048</v>
      </c>
      <c r="AA876">
        <f t="shared" si="27"/>
        <v>-57970</v>
      </c>
      <c r="AB876">
        <f t="shared" si="26"/>
        <v>-0.94080003219850372</v>
      </c>
    </row>
    <row r="877" spans="1:28">
      <c r="A877" t="s">
        <v>46</v>
      </c>
      <c r="B877" s="2">
        <v>45627</v>
      </c>
      <c r="C877" s="2">
        <v>45597</v>
      </c>
      <c r="D877" s="2">
        <v>45727</v>
      </c>
      <c r="E877">
        <v>64178301</v>
      </c>
      <c r="F877">
        <v>64313762</v>
      </c>
      <c r="G877">
        <v>135461</v>
      </c>
      <c r="H877">
        <v>89.59</v>
      </c>
      <c r="I877">
        <v>700000</v>
      </c>
      <c r="J877" t="s">
        <v>29</v>
      </c>
      <c r="K877">
        <v>71.8</v>
      </c>
      <c r="L877">
        <v>72.5</v>
      </c>
      <c r="M877">
        <v>22981843</v>
      </c>
      <c r="N877">
        <v>23075588</v>
      </c>
      <c r="O877">
        <v>89</v>
      </c>
      <c r="P877">
        <v>81</v>
      </c>
      <c r="Q877">
        <v>9446954</v>
      </c>
      <c r="R877">
        <v>9306909</v>
      </c>
      <c r="S877">
        <v>5603503</v>
      </c>
      <c r="T877">
        <v>5612098</v>
      </c>
      <c r="U877">
        <v>0</v>
      </c>
      <c r="V877">
        <v>0</v>
      </c>
      <c r="W877">
        <v>0</v>
      </c>
      <c r="X877">
        <v>0</v>
      </c>
      <c r="Y877">
        <v>26145912</v>
      </c>
      <c r="Z877">
        <v>26319086</v>
      </c>
      <c r="AA877">
        <f t="shared" si="27"/>
        <v>-140045</v>
      </c>
      <c r="AB877">
        <f t="shared" si="26"/>
        <v>-1.4824355024910676</v>
      </c>
    </row>
    <row r="878" spans="1:28">
      <c r="A878" t="s">
        <v>47</v>
      </c>
      <c r="B878" s="2">
        <v>45627</v>
      </c>
      <c r="C878" s="2">
        <v>45597</v>
      </c>
      <c r="D878" s="2">
        <v>45727</v>
      </c>
      <c r="E878">
        <v>77476830</v>
      </c>
      <c r="F878">
        <v>77400923</v>
      </c>
      <c r="G878">
        <v>-75907</v>
      </c>
      <c r="H878">
        <v>88.12</v>
      </c>
      <c r="I878">
        <v>640000</v>
      </c>
      <c r="J878" t="s">
        <v>29</v>
      </c>
      <c r="K878">
        <v>66.92</v>
      </c>
      <c r="L878">
        <v>67.56</v>
      </c>
      <c r="M878">
        <v>29787706</v>
      </c>
      <c r="N878">
        <v>29881079</v>
      </c>
      <c r="O878">
        <v>0</v>
      </c>
      <c r="P878">
        <v>0</v>
      </c>
      <c r="Q878">
        <v>15040723</v>
      </c>
      <c r="R878">
        <v>14935646</v>
      </c>
      <c r="S878">
        <v>7813641</v>
      </c>
      <c r="T878">
        <v>7725571</v>
      </c>
      <c r="U878">
        <v>212011</v>
      </c>
      <c r="V878">
        <v>217484</v>
      </c>
      <c r="W878">
        <v>0</v>
      </c>
      <c r="X878">
        <v>0</v>
      </c>
      <c r="Y878">
        <v>24622749</v>
      </c>
      <c r="Z878">
        <v>24641143</v>
      </c>
      <c r="AA878">
        <f t="shared" si="27"/>
        <v>-105077</v>
      </c>
      <c r="AB878">
        <f t="shared" si="26"/>
        <v>-0.69861668219007822</v>
      </c>
    </row>
    <row r="879" spans="1:28">
      <c r="A879" t="s">
        <v>48</v>
      </c>
      <c r="B879" s="2">
        <v>45627</v>
      </c>
      <c r="C879" s="2">
        <v>45597</v>
      </c>
      <c r="D879" s="2">
        <v>45727</v>
      </c>
      <c r="E879">
        <v>101010525</v>
      </c>
      <c r="F879">
        <v>101463740</v>
      </c>
      <c r="G879">
        <v>453215</v>
      </c>
      <c r="H879">
        <v>88.86</v>
      </c>
      <c r="I879">
        <v>2000000</v>
      </c>
      <c r="J879" t="s">
        <v>29</v>
      </c>
      <c r="K879">
        <v>104.35</v>
      </c>
      <c r="L879">
        <v>106.35</v>
      </c>
      <c r="M879">
        <v>36139722</v>
      </c>
      <c r="N879">
        <v>36232989</v>
      </c>
      <c r="O879">
        <v>0</v>
      </c>
      <c r="P879">
        <v>0</v>
      </c>
      <c r="Q879">
        <v>16161262</v>
      </c>
      <c r="R879">
        <v>16025137</v>
      </c>
      <c r="S879">
        <v>8362471</v>
      </c>
      <c r="T879">
        <v>8347061</v>
      </c>
      <c r="U879">
        <v>0</v>
      </c>
      <c r="V879">
        <v>0</v>
      </c>
      <c r="W879">
        <v>0</v>
      </c>
      <c r="X879">
        <v>0</v>
      </c>
      <c r="Y879">
        <v>40347070</v>
      </c>
      <c r="Z879">
        <v>40858553</v>
      </c>
      <c r="AA879">
        <f t="shared" si="27"/>
        <v>-136125</v>
      </c>
      <c r="AB879">
        <f t="shared" si="26"/>
        <v>-0.84229189527402004</v>
      </c>
    </row>
    <row r="880" spans="1:28">
      <c r="A880" t="s">
        <v>49</v>
      </c>
      <c r="B880" s="2">
        <v>45627</v>
      </c>
      <c r="C880" s="2">
        <v>45597</v>
      </c>
      <c r="D880" s="2">
        <v>45727</v>
      </c>
      <c r="E880">
        <v>62467786</v>
      </c>
      <c r="F880">
        <v>62587435</v>
      </c>
      <c r="G880">
        <v>119649</v>
      </c>
      <c r="H880">
        <v>85.74</v>
      </c>
      <c r="I880">
        <v>1350000</v>
      </c>
      <c r="J880" t="s">
        <v>29</v>
      </c>
      <c r="K880">
        <v>78.59</v>
      </c>
      <c r="L880">
        <v>79.94</v>
      </c>
      <c r="M880">
        <v>18666890</v>
      </c>
      <c r="N880">
        <v>18725821</v>
      </c>
      <c r="O880">
        <v>0</v>
      </c>
      <c r="P880">
        <v>0</v>
      </c>
      <c r="Q880">
        <v>14694545</v>
      </c>
      <c r="R880">
        <v>14547059</v>
      </c>
      <c r="S880">
        <v>5321946</v>
      </c>
      <c r="T880">
        <v>5220879</v>
      </c>
      <c r="U880">
        <v>0</v>
      </c>
      <c r="V880">
        <v>0</v>
      </c>
      <c r="W880">
        <v>0</v>
      </c>
      <c r="X880">
        <v>0</v>
      </c>
      <c r="Y880">
        <v>23784405</v>
      </c>
      <c r="Z880">
        <v>24093676</v>
      </c>
      <c r="AA880">
        <f t="shared" si="27"/>
        <v>-147486</v>
      </c>
      <c r="AB880">
        <f t="shared" si="26"/>
        <v>-1.0036785759613516</v>
      </c>
    </row>
    <row r="881" spans="1:28">
      <c r="A881" t="s">
        <v>50</v>
      </c>
      <c r="B881" s="2">
        <v>45627</v>
      </c>
      <c r="C881" s="2">
        <v>45597</v>
      </c>
      <c r="D881" s="2">
        <v>45727</v>
      </c>
      <c r="E881">
        <v>56871001</v>
      </c>
      <c r="F881">
        <v>56977177</v>
      </c>
      <c r="G881">
        <v>106176</v>
      </c>
      <c r="H881">
        <v>87.14</v>
      </c>
      <c r="I881">
        <v>1060000</v>
      </c>
      <c r="J881" t="s">
        <v>29</v>
      </c>
      <c r="K881">
        <v>62.68</v>
      </c>
      <c r="L881">
        <v>63.74</v>
      </c>
      <c r="M881">
        <v>18154925</v>
      </c>
      <c r="N881">
        <v>18214477</v>
      </c>
      <c r="O881">
        <v>4</v>
      </c>
      <c r="P881">
        <v>11</v>
      </c>
      <c r="Q881">
        <v>12151771</v>
      </c>
      <c r="R881">
        <v>11939342</v>
      </c>
      <c r="S881">
        <v>2693571</v>
      </c>
      <c r="T881">
        <v>2689590</v>
      </c>
      <c r="U881">
        <v>0</v>
      </c>
      <c r="V881">
        <v>0</v>
      </c>
      <c r="W881">
        <v>0</v>
      </c>
      <c r="X881">
        <v>0</v>
      </c>
      <c r="Y881">
        <v>23870730</v>
      </c>
      <c r="Z881">
        <v>24133757</v>
      </c>
      <c r="AA881">
        <f t="shared" si="27"/>
        <v>-212429</v>
      </c>
      <c r="AB881">
        <f t="shared" si="26"/>
        <v>-1.7481320212502358</v>
      </c>
    </row>
    <row r="882" spans="1:28">
      <c r="A882" t="s">
        <v>28</v>
      </c>
      <c r="B882" s="2">
        <v>45658</v>
      </c>
      <c r="C882" s="2">
        <v>45627</v>
      </c>
      <c r="D882" s="2">
        <v>45768</v>
      </c>
      <c r="E882">
        <v>82508679</v>
      </c>
      <c r="F882">
        <v>82299057</v>
      </c>
      <c r="G882">
        <v>-209622</v>
      </c>
      <c r="H882">
        <v>91.31</v>
      </c>
      <c r="I882">
        <v>640000</v>
      </c>
      <c r="J882" t="s">
        <v>29</v>
      </c>
      <c r="K882">
        <v>70.86</v>
      </c>
      <c r="L882">
        <v>71.5</v>
      </c>
      <c r="M882">
        <v>33765442</v>
      </c>
      <c r="N882">
        <v>33735002</v>
      </c>
      <c r="O882">
        <v>0</v>
      </c>
      <c r="P882">
        <v>0</v>
      </c>
      <c r="Q882">
        <v>10031734</v>
      </c>
      <c r="R882">
        <v>9878936</v>
      </c>
      <c r="S882">
        <v>6825411</v>
      </c>
      <c r="T882">
        <v>6870976</v>
      </c>
      <c r="U882">
        <v>0</v>
      </c>
      <c r="V882">
        <v>0</v>
      </c>
      <c r="W882">
        <v>0</v>
      </c>
      <c r="X882">
        <v>0</v>
      </c>
      <c r="Y882">
        <v>31886092</v>
      </c>
      <c r="Z882">
        <v>31814143</v>
      </c>
      <c r="AA882">
        <f t="shared" si="27"/>
        <v>-152798</v>
      </c>
      <c r="AB882">
        <f t="shared" si="26"/>
        <v>-1.5231464470648843</v>
      </c>
    </row>
    <row r="883" spans="1:28">
      <c r="A883" t="s">
        <v>30</v>
      </c>
      <c r="B883" s="2">
        <v>45658</v>
      </c>
      <c r="C883" s="2">
        <v>45627</v>
      </c>
      <c r="D883" s="2">
        <v>45768</v>
      </c>
      <c r="E883">
        <v>26077704</v>
      </c>
      <c r="F883">
        <v>26094194</v>
      </c>
      <c r="G883">
        <v>16490</v>
      </c>
      <c r="H883">
        <v>93.23</v>
      </c>
      <c r="I883">
        <v>100000</v>
      </c>
      <c r="J883" t="s">
        <v>29</v>
      </c>
      <c r="K883">
        <v>7.89</v>
      </c>
      <c r="L883">
        <v>7.99</v>
      </c>
      <c r="M883">
        <v>11914048</v>
      </c>
      <c r="N883">
        <v>11984141</v>
      </c>
      <c r="O883">
        <v>0</v>
      </c>
      <c r="P883">
        <v>0</v>
      </c>
      <c r="Q883">
        <v>1438865</v>
      </c>
      <c r="R883">
        <v>1419772</v>
      </c>
      <c r="S883">
        <v>2992345</v>
      </c>
      <c r="T883">
        <v>2974004</v>
      </c>
      <c r="U883">
        <v>0</v>
      </c>
      <c r="V883">
        <v>0</v>
      </c>
      <c r="W883">
        <v>0</v>
      </c>
      <c r="X883">
        <v>0</v>
      </c>
      <c r="Y883">
        <v>9732446</v>
      </c>
      <c r="Z883">
        <v>9716277</v>
      </c>
      <c r="AA883">
        <f t="shared" si="27"/>
        <v>-19093</v>
      </c>
      <c r="AB883">
        <f t="shared" si="26"/>
        <v>-1.3269486713485978</v>
      </c>
    </row>
    <row r="884" spans="1:28">
      <c r="A884" t="s">
        <v>31</v>
      </c>
      <c r="B884" s="2">
        <v>45658</v>
      </c>
      <c r="C884" s="2">
        <v>45627</v>
      </c>
      <c r="D884" s="2">
        <v>45768</v>
      </c>
      <c r="E884">
        <v>94864427</v>
      </c>
      <c r="F884">
        <v>95231202</v>
      </c>
      <c r="G884">
        <v>366775</v>
      </c>
      <c r="H884">
        <v>83.23</v>
      </c>
      <c r="I884">
        <v>1040000</v>
      </c>
      <c r="J884" t="s">
        <v>29</v>
      </c>
      <c r="K884">
        <v>61.9</v>
      </c>
      <c r="L884">
        <v>62.94</v>
      </c>
      <c r="M884">
        <v>40498909</v>
      </c>
      <c r="N884">
        <v>40672414</v>
      </c>
      <c r="O884">
        <v>1</v>
      </c>
      <c r="P884">
        <v>0</v>
      </c>
      <c r="Q884">
        <v>7485493</v>
      </c>
      <c r="R884">
        <v>7532447</v>
      </c>
      <c r="S884">
        <v>5966507</v>
      </c>
      <c r="T884">
        <v>5972157</v>
      </c>
      <c r="U884">
        <v>0</v>
      </c>
      <c r="V884">
        <v>0</v>
      </c>
      <c r="W884">
        <v>0</v>
      </c>
      <c r="X884">
        <v>0</v>
      </c>
      <c r="Y884">
        <v>40913517</v>
      </c>
      <c r="Z884">
        <v>41054184</v>
      </c>
      <c r="AA884">
        <f t="shared" si="27"/>
        <v>46954</v>
      </c>
      <c r="AB884">
        <f t="shared" si="26"/>
        <v>0.62726663427512397</v>
      </c>
    </row>
    <row r="885" spans="1:28">
      <c r="A885" t="s">
        <v>32</v>
      </c>
      <c r="B885" s="2">
        <v>45658</v>
      </c>
      <c r="C885" s="2">
        <v>45627</v>
      </c>
      <c r="D885" s="2">
        <v>45768</v>
      </c>
      <c r="E885">
        <v>55725198</v>
      </c>
      <c r="F885">
        <v>55656239</v>
      </c>
      <c r="G885">
        <v>-68959</v>
      </c>
      <c r="H885">
        <v>55.22</v>
      </c>
      <c r="I885">
        <v>670000</v>
      </c>
      <c r="J885" t="s">
        <v>29</v>
      </c>
      <c r="K885">
        <v>51.42</v>
      </c>
      <c r="L885">
        <v>52.09</v>
      </c>
      <c r="M885">
        <v>18434020</v>
      </c>
      <c r="N885">
        <v>18561878</v>
      </c>
      <c r="O885">
        <v>20</v>
      </c>
      <c r="P885">
        <v>2</v>
      </c>
      <c r="Q885">
        <v>16743346</v>
      </c>
      <c r="R885">
        <v>16605020</v>
      </c>
      <c r="S885">
        <v>0</v>
      </c>
      <c r="T885">
        <v>0</v>
      </c>
      <c r="U885">
        <v>0</v>
      </c>
      <c r="V885">
        <v>0</v>
      </c>
      <c r="W885">
        <v>789707</v>
      </c>
      <c r="X885">
        <v>789583</v>
      </c>
      <c r="Y885">
        <v>19758105</v>
      </c>
      <c r="Z885">
        <v>19699756</v>
      </c>
      <c r="AA885">
        <f t="shared" si="27"/>
        <v>-138326</v>
      </c>
      <c r="AB885">
        <f t="shared" si="26"/>
        <v>-0.82615505885143858</v>
      </c>
    </row>
    <row r="886" spans="1:28">
      <c r="A886" t="s">
        <v>33</v>
      </c>
      <c r="B886" s="2">
        <v>45658</v>
      </c>
      <c r="C886" s="2">
        <v>45627</v>
      </c>
      <c r="D886" s="2">
        <v>45768</v>
      </c>
      <c r="E886">
        <v>64965390</v>
      </c>
      <c r="F886">
        <v>65185390</v>
      </c>
      <c r="G886">
        <v>220000</v>
      </c>
      <c r="H886">
        <v>91.87</v>
      </c>
      <c r="I886">
        <v>980000</v>
      </c>
      <c r="J886" t="s">
        <v>29</v>
      </c>
      <c r="K886">
        <v>73.42</v>
      </c>
      <c r="L886">
        <v>74.400000000000006</v>
      </c>
      <c r="M886">
        <v>12206886</v>
      </c>
      <c r="N886">
        <v>12308365</v>
      </c>
      <c r="O886">
        <v>0</v>
      </c>
      <c r="P886">
        <v>16</v>
      </c>
      <c r="Q886">
        <v>19683954</v>
      </c>
      <c r="R886">
        <v>19682084</v>
      </c>
      <c r="S886">
        <v>3318309</v>
      </c>
      <c r="T886">
        <v>3310773</v>
      </c>
      <c r="U886">
        <v>0</v>
      </c>
      <c r="V886">
        <v>0</v>
      </c>
      <c r="W886">
        <v>0</v>
      </c>
      <c r="X886">
        <v>0</v>
      </c>
      <c r="Y886">
        <v>29756241</v>
      </c>
      <c r="Z886">
        <v>29884152</v>
      </c>
      <c r="AA886">
        <f t="shared" si="27"/>
        <v>-1870</v>
      </c>
      <c r="AB886">
        <f t="shared" si="26"/>
        <v>-9.5001238064262895E-3</v>
      </c>
    </row>
    <row r="887" spans="1:28">
      <c r="A887" t="s">
        <v>34</v>
      </c>
      <c r="B887" s="2">
        <v>45658</v>
      </c>
      <c r="C887" s="2">
        <v>45627</v>
      </c>
      <c r="D887" s="2">
        <v>45768</v>
      </c>
      <c r="E887">
        <v>25947667</v>
      </c>
      <c r="F887">
        <v>26006968</v>
      </c>
      <c r="G887">
        <v>59301</v>
      </c>
      <c r="H887">
        <v>92.15</v>
      </c>
      <c r="I887">
        <v>420000</v>
      </c>
      <c r="J887" t="s">
        <v>29</v>
      </c>
      <c r="K887">
        <v>33.99</v>
      </c>
      <c r="L887">
        <v>34.409999999999997</v>
      </c>
      <c r="M887">
        <v>7061216</v>
      </c>
      <c r="N887">
        <v>7134781</v>
      </c>
      <c r="O887">
        <v>0</v>
      </c>
      <c r="P887">
        <v>0</v>
      </c>
      <c r="Q887">
        <v>6402674</v>
      </c>
      <c r="R887">
        <v>6369739</v>
      </c>
      <c r="S887">
        <v>4159824</v>
      </c>
      <c r="T887">
        <v>4188584</v>
      </c>
      <c r="U887">
        <v>0</v>
      </c>
      <c r="V887">
        <v>0</v>
      </c>
      <c r="W887">
        <v>0</v>
      </c>
      <c r="X887">
        <v>0</v>
      </c>
      <c r="Y887">
        <v>8323953</v>
      </c>
      <c r="Z887">
        <v>8313864</v>
      </c>
      <c r="AA887">
        <f t="shared" si="27"/>
        <v>-32935</v>
      </c>
      <c r="AB887">
        <f t="shared" si="26"/>
        <v>-0.51439445456695121</v>
      </c>
    </row>
    <row r="888" spans="1:28">
      <c r="A888" t="s">
        <v>35</v>
      </c>
      <c r="B888" s="2">
        <v>45658</v>
      </c>
      <c r="C888" s="2">
        <v>45627</v>
      </c>
      <c r="D888" s="2">
        <v>45768</v>
      </c>
      <c r="E888">
        <v>8825306</v>
      </c>
      <c r="F888">
        <v>8824716</v>
      </c>
      <c r="G888">
        <v>-590</v>
      </c>
      <c r="H888">
        <v>102.2</v>
      </c>
      <c r="I888">
        <v>50000</v>
      </c>
      <c r="J888" t="s">
        <v>29</v>
      </c>
      <c r="K888">
        <v>4.55</v>
      </c>
      <c r="L888">
        <v>4.5999999999999996</v>
      </c>
      <c r="M888">
        <v>3548882</v>
      </c>
      <c r="N888">
        <v>3565291</v>
      </c>
      <c r="O888">
        <v>0</v>
      </c>
      <c r="P888">
        <v>0</v>
      </c>
      <c r="Q888">
        <v>377601</v>
      </c>
      <c r="R888">
        <v>374422</v>
      </c>
      <c r="S888">
        <v>1666376</v>
      </c>
      <c r="T888">
        <v>1668449</v>
      </c>
      <c r="U888">
        <v>0</v>
      </c>
      <c r="V888">
        <v>0</v>
      </c>
      <c r="W888">
        <v>0</v>
      </c>
      <c r="X888">
        <v>0</v>
      </c>
      <c r="Y888">
        <v>3232447</v>
      </c>
      <c r="Z888">
        <v>3216554</v>
      </c>
      <c r="AA888">
        <f t="shared" si="27"/>
        <v>-3179</v>
      </c>
      <c r="AB888">
        <f t="shared" si="26"/>
        <v>-0.84189395684863122</v>
      </c>
    </row>
    <row r="889" spans="1:28">
      <c r="A889" t="s">
        <v>36</v>
      </c>
      <c r="B889" s="2">
        <v>45658</v>
      </c>
      <c r="C889" s="2">
        <v>45627</v>
      </c>
      <c r="D889" s="2">
        <v>45768</v>
      </c>
      <c r="E889">
        <v>12156294</v>
      </c>
      <c r="F889">
        <v>12117306</v>
      </c>
      <c r="G889">
        <v>-38988</v>
      </c>
      <c r="H889">
        <v>84.42</v>
      </c>
      <c r="I889">
        <v>80000</v>
      </c>
      <c r="J889" t="s">
        <v>29</v>
      </c>
      <c r="K889">
        <v>3.03</v>
      </c>
      <c r="L889">
        <v>3.11</v>
      </c>
      <c r="M889">
        <v>6108668</v>
      </c>
      <c r="N889">
        <v>6110170</v>
      </c>
      <c r="O889">
        <v>0</v>
      </c>
      <c r="P889">
        <v>0</v>
      </c>
      <c r="Q889">
        <v>262621</v>
      </c>
      <c r="R889">
        <v>258390</v>
      </c>
      <c r="S889">
        <v>872157</v>
      </c>
      <c r="T889">
        <v>869359</v>
      </c>
      <c r="U889">
        <v>0</v>
      </c>
      <c r="V889">
        <v>0</v>
      </c>
      <c r="W889">
        <v>0</v>
      </c>
      <c r="X889">
        <v>0</v>
      </c>
      <c r="Y889">
        <v>4912848</v>
      </c>
      <c r="Z889">
        <v>4879387</v>
      </c>
      <c r="AA889">
        <f t="shared" si="27"/>
        <v>-4231</v>
      </c>
      <c r="AB889">
        <f t="shared" si="26"/>
        <v>-1.6110668986867007</v>
      </c>
    </row>
    <row r="890" spans="1:28">
      <c r="A890" t="s">
        <v>37</v>
      </c>
      <c r="B890" s="2">
        <v>45658</v>
      </c>
      <c r="C890" s="2">
        <v>45627</v>
      </c>
      <c r="D890" s="2">
        <v>45768</v>
      </c>
      <c r="E890">
        <v>67874969</v>
      </c>
      <c r="F890">
        <v>67915341</v>
      </c>
      <c r="G890">
        <v>40372</v>
      </c>
      <c r="H890">
        <v>75.38</v>
      </c>
      <c r="I890">
        <v>560000</v>
      </c>
      <c r="J890" t="s">
        <v>29</v>
      </c>
      <c r="K890">
        <v>71.94</v>
      </c>
      <c r="L890">
        <v>72.5</v>
      </c>
      <c r="M890">
        <v>32177739</v>
      </c>
      <c r="N890">
        <v>32216163</v>
      </c>
      <c r="O890">
        <v>339</v>
      </c>
      <c r="P890">
        <v>427</v>
      </c>
      <c r="Q890">
        <v>6599552</v>
      </c>
      <c r="R890">
        <v>6572969</v>
      </c>
      <c r="S890">
        <v>4571164</v>
      </c>
      <c r="T890">
        <v>4564330</v>
      </c>
      <c r="U890">
        <v>0</v>
      </c>
      <c r="V890">
        <v>0</v>
      </c>
      <c r="W890">
        <v>0</v>
      </c>
      <c r="X890">
        <v>0</v>
      </c>
      <c r="Y890">
        <v>24526175</v>
      </c>
      <c r="Z890">
        <v>24561452</v>
      </c>
      <c r="AA890">
        <f t="shared" si="27"/>
        <v>-26583</v>
      </c>
      <c r="AB890">
        <f t="shared" si="26"/>
        <v>-0.40280006885315855</v>
      </c>
    </row>
    <row r="891" spans="1:28">
      <c r="A891" t="s">
        <v>38</v>
      </c>
      <c r="B891" s="2">
        <v>45658</v>
      </c>
      <c r="C891" s="2">
        <v>45627</v>
      </c>
      <c r="D891" s="2">
        <v>45768</v>
      </c>
      <c r="E891">
        <v>41288584</v>
      </c>
      <c r="F891">
        <v>41337326</v>
      </c>
      <c r="G891">
        <v>48742</v>
      </c>
      <c r="H891">
        <v>94.34</v>
      </c>
      <c r="I891">
        <v>250000</v>
      </c>
      <c r="J891" t="s">
        <v>29</v>
      </c>
      <c r="K891">
        <v>25.65</v>
      </c>
      <c r="L891">
        <v>25.9</v>
      </c>
      <c r="M891">
        <v>8816703</v>
      </c>
      <c r="N891">
        <v>8891514</v>
      </c>
      <c r="O891">
        <v>0</v>
      </c>
      <c r="P891">
        <v>0</v>
      </c>
      <c r="Q891">
        <v>13026138</v>
      </c>
      <c r="R891">
        <v>12991598</v>
      </c>
      <c r="S891">
        <v>8730042</v>
      </c>
      <c r="T891">
        <v>8743507</v>
      </c>
      <c r="U891">
        <v>0</v>
      </c>
      <c r="V891">
        <v>0</v>
      </c>
      <c r="W891">
        <v>0</v>
      </c>
      <c r="X891">
        <v>0</v>
      </c>
      <c r="Y891">
        <v>10715701</v>
      </c>
      <c r="Z891">
        <v>10710707</v>
      </c>
      <c r="AA891">
        <f t="shared" si="27"/>
        <v>-34540</v>
      </c>
      <c r="AB891">
        <f t="shared" si="26"/>
        <v>-0.26515917457653221</v>
      </c>
    </row>
    <row r="892" spans="1:28">
      <c r="A892" t="s">
        <v>39</v>
      </c>
      <c r="B892" s="2">
        <v>45658</v>
      </c>
      <c r="C892" s="2">
        <v>45627</v>
      </c>
      <c r="D892" s="2">
        <v>45768</v>
      </c>
      <c r="E892">
        <v>22559783</v>
      </c>
      <c r="F892">
        <v>22484551</v>
      </c>
      <c r="G892">
        <v>-75232</v>
      </c>
      <c r="H892">
        <v>88.33</v>
      </c>
      <c r="I892">
        <v>200000</v>
      </c>
      <c r="J892" t="s">
        <v>29</v>
      </c>
      <c r="K892">
        <v>19.63</v>
      </c>
      <c r="L892">
        <v>19.829999999999998</v>
      </c>
      <c r="M892">
        <v>5445207</v>
      </c>
      <c r="N892">
        <v>5450894</v>
      </c>
      <c r="O892">
        <v>0</v>
      </c>
      <c r="P892">
        <v>0</v>
      </c>
      <c r="Q892">
        <v>4955745</v>
      </c>
      <c r="R892">
        <v>4905270</v>
      </c>
      <c r="S892">
        <v>1468367</v>
      </c>
      <c r="T892">
        <v>1460493</v>
      </c>
      <c r="U892">
        <v>0</v>
      </c>
      <c r="V892">
        <v>0</v>
      </c>
      <c r="W892">
        <v>0</v>
      </c>
      <c r="X892">
        <v>0</v>
      </c>
      <c r="Y892">
        <v>10690464</v>
      </c>
      <c r="Z892">
        <v>10667894</v>
      </c>
      <c r="AA892">
        <f t="shared" si="27"/>
        <v>-50475</v>
      </c>
      <c r="AB892">
        <f t="shared" si="26"/>
        <v>-1.0185148751600415</v>
      </c>
    </row>
    <row r="893" spans="1:28">
      <c r="A893" t="s">
        <v>40</v>
      </c>
      <c r="B893" s="2">
        <v>45658</v>
      </c>
      <c r="C893" s="2">
        <v>45627</v>
      </c>
      <c r="D893" s="2">
        <v>45768</v>
      </c>
      <c r="E893">
        <v>79820303</v>
      </c>
      <c r="F893">
        <v>79982707</v>
      </c>
      <c r="G893">
        <v>162404</v>
      </c>
      <c r="H893">
        <v>84.6</v>
      </c>
      <c r="I893">
        <v>1320000</v>
      </c>
      <c r="J893" t="s">
        <v>29</v>
      </c>
      <c r="K893">
        <v>84.71</v>
      </c>
      <c r="L893">
        <v>86.03</v>
      </c>
      <c r="M893">
        <v>16404356</v>
      </c>
      <c r="N893">
        <v>16521520</v>
      </c>
      <c r="O893">
        <v>0</v>
      </c>
      <c r="P893">
        <v>0</v>
      </c>
      <c r="Q893">
        <v>13967009</v>
      </c>
      <c r="R893">
        <v>13784241</v>
      </c>
      <c r="S893">
        <v>5134063</v>
      </c>
      <c r="T893">
        <v>5146819</v>
      </c>
      <c r="U893">
        <v>0</v>
      </c>
      <c r="V893">
        <v>0</v>
      </c>
      <c r="W893">
        <v>0</v>
      </c>
      <c r="X893">
        <v>0</v>
      </c>
      <c r="Y893">
        <v>44314875</v>
      </c>
      <c r="Z893">
        <v>44530127</v>
      </c>
      <c r="AA893">
        <f t="shared" si="27"/>
        <v>-182768</v>
      </c>
      <c r="AB893">
        <f t="shared" si="26"/>
        <v>-1.3085693579777891</v>
      </c>
    </row>
    <row r="894" spans="1:28">
      <c r="A894" t="s">
        <v>41</v>
      </c>
      <c r="B894" s="2">
        <v>45658</v>
      </c>
      <c r="C894" s="2">
        <v>45627</v>
      </c>
      <c r="D894" s="2">
        <v>45768</v>
      </c>
      <c r="E894">
        <v>90826616</v>
      </c>
      <c r="F894">
        <v>90725465</v>
      </c>
      <c r="G894">
        <v>-101151</v>
      </c>
      <c r="H894">
        <v>92.76</v>
      </c>
      <c r="I894">
        <v>1090000</v>
      </c>
      <c r="J894" t="s">
        <v>29</v>
      </c>
      <c r="K894">
        <v>87.99</v>
      </c>
      <c r="L894">
        <v>89.08</v>
      </c>
      <c r="M894">
        <v>22368784</v>
      </c>
      <c r="N894">
        <v>22510042</v>
      </c>
      <c r="O894">
        <v>0</v>
      </c>
      <c r="P894">
        <v>0</v>
      </c>
      <c r="Q894">
        <v>20708127</v>
      </c>
      <c r="R894">
        <v>20513105</v>
      </c>
      <c r="S894">
        <v>5470925</v>
      </c>
      <c r="T894">
        <v>5428930</v>
      </c>
      <c r="U894">
        <v>0</v>
      </c>
      <c r="V894">
        <v>0</v>
      </c>
      <c r="W894">
        <v>0</v>
      </c>
      <c r="X894">
        <v>0</v>
      </c>
      <c r="Y894">
        <v>42278780</v>
      </c>
      <c r="Z894">
        <v>42273388</v>
      </c>
      <c r="AA894">
        <f t="shared" si="27"/>
        <v>-195022</v>
      </c>
      <c r="AB894">
        <f t="shared" si="26"/>
        <v>-0.94176552036792127</v>
      </c>
    </row>
    <row r="895" spans="1:28">
      <c r="A895" t="s">
        <v>42</v>
      </c>
      <c r="B895" s="2">
        <v>45658</v>
      </c>
      <c r="C895" s="2">
        <v>45627</v>
      </c>
      <c r="D895" s="2">
        <v>45768</v>
      </c>
      <c r="E895">
        <v>33776094</v>
      </c>
      <c r="F895">
        <v>33937765</v>
      </c>
      <c r="G895">
        <v>161671</v>
      </c>
      <c r="H895">
        <v>72.37</v>
      </c>
      <c r="I895">
        <v>300000</v>
      </c>
      <c r="J895" t="s">
        <v>29</v>
      </c>
      <c r="K895">
        <v>35.43</v>
      </c>
      <c r="L895">
        <v>35.729999999999997</v>
      </c>
      <c r="M895">
        <v>10066642</v>
      </c>
      <c r="N895">
        <v>10099114</v>
      </c>
      <c r="O895">
        <v>31</v>
      </c>
      <c r="P895">
        <v>58</v>
      </c>
      <c r="Q895">
        <v>10680874</v>
      </c>
      <c r="R895">
        <v>10682247</v>
      </c>
      <c r="S895">
        <v>0</v>
      </c>
      <c r="T895">
        <v>0</v>
      </c>
      <c r="U895">
        <v>0</v>
      </c>
      <c r="V895">
        <v>0</v>
      </c>
      <c r="W895">
        <v>215223</v>
      </c>
      <c r="X895">
        <v>212730</v>
      </c>
      <c r="Y895">
        <v>12813324</v>
      </c>
      <c r="Z895">
        <v>12943616</v>
      </c>
      <c r="AA895">
        <f t="shared" si="27"/>
        <v>1373</v>
      </c>
      <c r="AB895">
        <f t="shared" si="26"/>
        <v>1.2854753272063691E-2</v>
      </c>
    </row>
    <row r="896" spans="1:28">
      <c r="A896" t="s">
        <v>43</v>
      </c>
      <c r="B896" s="2">
        <v>45658</v>
      </c>
      <c r="C896" s="2">
        <v>45627</v>
      </c>
      <c r="D896" s="2">
        <v>45768</v>
      </c>
      <c r="E896">
        <v>12442369</v>
      </c>
      <c r="F896">
        <v>12463281</v>
      </c>
      <c r="G896">
        <v>20912</v>
      </c>
      <c r="H896">
        <v>94.85</v>
      </c>
      <c r="I896">
        <v>20000</v>
      </c>
      <c r="J896" t="s">
        <v>29</v>
      </c>
      <c r="K896">
        <v>2.48</v>
      </c>
      <c r="L896">
        <v>2.5</v>
      </c>
      <c r="M896">
        <v>6265788</v>
      </c>
      <c r="N896">
        <v>6273468</v>
      </c>
      <c r="O896">
        <v>0</v>
      </c>
      <c r="P896">
        <v>0</v>
      </c>
      <c r="Q896">
        <v>659058</v>
      </c>
      <c r="R896">
        <v>649714</v>
      </c>
      <c r="S896">
        <v>1288497</v>
      </c>
      <c r="T896">
        <v>1286014</v>
      </c>
      <c r="U896">
        <v>0</v>
      </c>
      <c r="V896">
        <v>0</v>
      </c>
      <c r="W896">
        <v>0</v>
      </c>
      <c r="X896">
        <v>0</v>
      </c>
      <c r="Y896">
        <v>4229026</v>
      </c>
      <c r="Z896">
        <v>4254085</v>
      </c>
      <c r="AA896">
        <f t="shared" si="27"/>
        <v>-9344</v>
      </c>
      <c r="AB896">
        <f t="shared" si="26"/>
        <v>-1.4177811361063821</v>
      </c>
    </row>
    <row r="897" spans="1:28">
      <c r="A897" t="s">
        <v>44</v>
      </c>
      <c r="B897" s="2">
        <v>45658</v>
      </c>
      <c r="C897" s="2">
        <v>45627</v>
      </c>
      <c r="D897" s="2">
        <v>45768</v>
      </c>
      <c r="E897">
        <v>34346098</v>
      </c>
      <c r="F897">
        <v>34417824</v>
      </c>
      <c r="G897">
        <v>71726</v>
      </c>
      <c r="H897">
        <v>91.38</v>
      </c>
      <c r="I897">
        <v>200000</v>
      </c>
      <c r="J897" t="s">
        <v>29</v>
      </c>
      <c r="K897">
        <v>18.87</v>
      </c>
      <c r="L897">
        <v>19.07</v>
      </c>
      <c r="M897">
        <v>11737705</v>
      </c>
      <c r="N897">
        <v>11749063</v>
      </c>
      <c r="O897">
        <v>0</v>
      </c>
      <c r="P897">
        <v>0</v>
      </c>
      <c r="Q897">
        <v>1378440</v>
      </c>
      <c r="R897">
        <v>1384864</v>
      </c>
      <c r="S897">
        <v>5573321</v>
      </c>
      <c r="T897">
        <v>5577316</v>
      </c>
      <c r="U897">
        <v>0</v>
      </c>
      <c r="V897">
        <v>0</v>
      </c>
      <c r="W897">
        <v>0</v>
      </c>
      <c r="X897">
        <v>0</v>
      </c>
      <c r="Y897">
        <v>15656632</v>
      </c>
      <c r="Z897">
        <v>15706581</v>
      </c>
      <c r="AA897">
        <f t="shared" si="27"/>
        <v>6424</v>
      </c>
      <c r="AB897">
        <f t="shared" si="26"/>
        <v>0.46603406749659032</v>
      </c>
    </row>
    <row r="898" spans="1:28">
      <c r="A898" t="s">
        <v>45</v>
      </c>
      <c r="B898" s="2">
        <v>45658</v>
      </c>
      <c r="C898" s="2">
        <v>45627</v>
      </c>
      <c r="D898" s="2">
        <v>45768</v>
      </c>
      <c r="E898">
        <v>33908115</v>
      </c>
      <c r="F898">
        <v>33892399</v>
      </c>
      <c r="G898">
        <v>-15716</v>
      </c>
      <c r="H898">
        <v>90.73</v>
      </c>
      <c r="I898">
        <v>350000</v>
      </c>
      <c r="J898" t="s">
        <v>29</v>
      </c>
      <c r="K898">
        <v>35.340000000000003</v>
      </c>
      <c r="L898">
        <v>35.69</v>
      </c>
      <c r="M898">
        <v>12356021</v>
      </c>
      <c r="N898">
        <v>12422911</v>
      </c>
      <c r="O898">
        <v>9</v>
      </c>
      <c r="P898">
        <v>6</v>
      </c>
      <c r="Q898">
        <v>6103807</v>
      </c>
      <c r="R898">
        <v>6077318</v>
      </c>
      <c r="S898">
        <v>4097230</v>
      </c>
      <c r="T898">
        <v>4092355</v>
      </c>
      <c r="U898">
        <v>0</v>
      </c>
      <c r="V898">
        <v>0</v>
      </c>
      <c r="W898">
        <v>0</v>
      </c>
      <c r="X898">
        <v>0</v>
      </c>
      <c r="Y898">
        <v>11351048</v>
      </c>
      <c r="Z898">
        <v>11299809</v>
      </c>
      <c r="AA898">
        <f t="shared" si="27"/>
        <v>-26489</v>
      </c>
      <c r="AB898">
        <f t="shared" si="26"/>
        <v>-0.43397505851675844</v>
      </c>
    </row>
    <row r="899" spans="1:28">
      <c r="A899" t="s">
        <v>46</v>
      </c>
      <c r="B899" s="2">
        <v>45658</v>
      </c>
      <c r="C899" s="2">
        <v>45627</v>
      </c>
      <c r="D899" s="2">
        <v>45768</v>
      </c>
      <c r="E899">
        <v>64313762</v>
      </c>
      <c r="F899">
        <v>64315280</v>
      </c>
      <c r="G899">
        <v>1518</v>
      </c>
      <c r="H899">
        <v>89.72</v>
      </c>
      <c r="I899">
        <v>740000</v>
      </c>
      <c r="J899" t="s">
        <v>29</v>
      </c>
      <c r="K899">
        <v>72.5</v>
      </c>
      <c r="L899">
        <v>73.239999999999995</v>
      </c>
      <c r="M899">
        <v>23075588</v>
      </c>
      <c r="N899">
        <v>23235660</v>
      </c>
      <c r="O899">
        <v>81</v>
      </c>
      <c r="P899">
        <v>81</v>
      </c>
      <c r="Q899">
        <v>9306909</v>
      </c>
      <c r="R899">
        <v>9219961</v>
      </c>
      <c r="S899">
        <v>5612098</v>
      </c>
      <c r="T899">
        <v>5614566</v>
      </c>
      <c r="U899">
        <v>0</v>
      </c>
      <c r="V899">
        <v>0</v>
      </c>
      <c r="W899">
        <v>0</v>
      </c>
      <c r="X899">
        <v>0</v>
      </c>
      <c r="Y899">
        <v>26319086</v>
      </c>
      <c r="Z899">
        <v>26245012</v>
      </c>
      <c r="AA899">
        <f t="shared" si="27"/>
        <v>-86948</v>
      </c>
      <c r="AB899">
        <f t="shared" ref="AB899:AB962" si="28">(($R899-$Q899)/$Q899)*100</f>
        <v>-0.93423068819089139</v>
      </c>
    </row>
    <row r="900" spans="1:28">
      <c r="A900" t="s">
        <v>47</v>
      </c>
      <c r="B900" s="2">
        <v>45658</v>
      </c>
      <c r="C900" s="2">
        <v>45627</v>
      </c>
      <c r="D900" s="2">
        <v>45768</v>
      </c>
      <c r="E900">
        <v>77400923</v>
      </c>
      <c r="F900">
        <v>77235735</v>
      </c>
      <c r="G900">
        <v>-165188</v>
      </c>
      <c r="H900">
        <v>85.13</v>
      </c>
      <c r="I900">
        <v>580000</v>
      </c>
      <c r="J900" t="s">
        <v>29</v>
      </c>
      <c r="K900">
        <v>67.56</v>
      </c>
      <c r="L900">
        <v>68.14</v>
      </c>
      <c r="M900">
        <v>29881079</v>
      </c>
      <c r="N900">
        <v>29966292</v>
      </c>
      <c r="O900">
        <v>0</v>
      </c>
      <c r="P900">
        <v>0</v>
      </c>
      <c r="Q900">
        <v>14935646</v>
      </c>
      <c r="R900">
        <v>14854350</v>
      </c>
      <c r="S900">
        <v>7725571</v>
      </c>
      <c r="T900">
        <v>7775426</v>
      </c>
      <c r="U900">
        <v>217484</v>
      </c>
      <c r="V900">
        <v>0</v>
      </c>
      <c r="W900">
        <v>0</v>
      </c>
      <c r="X900">
        <v>0</v>
      </c>
      <c r="Y900">
        <v>24641143</v>
      </c>
      <c r="Z900">
        <v>24639667</v>
      </c>
      <c r="AA900">
        <f t="shared" ref="AA900:AA963" si="29">$R900-$Q900</f>
        <v>-81296</v>
      </c>
      <c r="AB900">
        <f t="shared" si="28"/>
        <v>-0.54430856221418211</v>
      </c>
    </row>
    <row r="901" spans="1:28">
      <c r="A901" t="s">
        <v>48</v>
      </c>
      <c r="B901" s="2">
        <v>45658</v>
      </c>
      <c r="C901" s="2">
        <v>45627</v>
      </c>
      <c r="D901" s="2">
        <v>45768</v>
      </c>
      <c r="E901">
        <v>101463740</v>
      </c>
      <c r="F901">
        <v>101742714</v>
      </c>
      <c r="G901">
        <v>278974</v>
      </c>
      <c r="H901">
        <v>90.16</v>
      </c>
      <c r="I901">
        <v>2020000</v>
      </c>
      <c r="J901" t="s">
        <v>29</v>
      </c>
      <c r="K901">
        <v>106.35</v>
      </c>
      <c r="L901">
        <v>108.37</v>
      </c>
      <c r="M901">
        <v>36232989</v>
      </c>
      <c r="N901">
        <v>36432568</v>
      </c>
      <c r="O901">
        <v>0</v>
      </c>
      <c r="P901">
        <v>0</v>
      </c>
      <c r="Q901">
        <v>16025137</v>
      </c>
      <c r="R901">
        <v>15975202</v>
      </c>
      <c r="S901">
        <v>8347061</v>
      </c>
      <c r="T901">
        <v>8195114</v>
      </c>
      <c r="U901">
        <v>0</v>
      </c>
      <c r="V901">
        <v>0</v>
      </c>
      <c r="W901">
        <v>0</v>
      </c>
      <c r="X901">
        <v>0</v>
      </c>
      <c r="Y901">
        <v>40858553</v>
      </c>
      <c r="Z901">
        <v>41139830</v>
      </c>
      <c r="AA901">
        <f t="shared" si="29"/>
        <v>-49935</v>
      </c>
      <c r="AB901">
        <f t="shared" si="28"/>
        <v>-0.31160420032602532</v>
      </c>
    </row>
    <row r="902" spans="1:28">
      <c r="A902" t="s">
        <v>49</v>
      </c>
      <c r="B902" s="2">
        <v>45658</v>
      </c>
      <c r="C902" s="2">
        <v>45627</v>
      </c>
      <c r="D902" s="2">
        <v>45768</v>
      </c>
      <c r="E902">
        <v>62587435</v>
      </c>
      <c r="F902">
        <v>62557142</v>
      </c>
      <c r="G902">
        <v>-30293</v>
      </c>
      <c r="H902">
        <v>86.07</v>
      </c>
      <c r="I902">
        <v>1470000</v>
      </c>
      <c r="J902" t="s">
        <v>29</v>
      </c>
      <c r="K902">
        <v>79.94</v>
      </c>
      <c r="L902">
        <v>81.41</v>
      </c>
      <c r="M902">
        <v>18725821</v>
      </c>
      <c r="N902">
        <v>18808741</v>
      </c>
      <c r="O902">
        <v>0</v>
      </c>
      <c r="P902">
        <v>0</v>
      </c>
      <c r="Q902">
        <v>14547059</v>
      </c>
      <c r="R902">
        <v>14446899</v>
      </c>
      <c r="S902">
        <v>5220879</v>
      </c>
      <c r="T902">
        <v>5158043</v>
      </c>
      <c r="U902">
        <v>0</v>
      </c>
      <c r="V902">
        <v>0</v>
      </c>
      <c r="W902">
        <v>0</v>
      </c>
      <c r="X902">
        <v>0</v>
      </c>
      <c r="Y902">
        <v>24093676</v>
      </c>
      <c r="Z902">
        <v>24143459</v>
      </c>
      <c r="AA902">
        <f t="shared" si="29"/>
        <v>-100160</v>
      </c>
      <c r="AB902">
        <f t="shared" si="28"/>
        <v>-0.68852405149384499</v>
      </c>
    </row>
    <row r="903" spans="1:28">
      <c r="A903" t="s">
        <v>50</v>
      </c>
      <c r="B903" s="2">
        <v>45658</v>
      </c>
      <c r="C903" s="2">
        <v>45627</v>
      </c>
      <c r="D903" s="2">
        <v>45768</v>
      </c>
      <c r="E903">
        <v>56977177</v>
      </c>
      <c r="F903">
        <v>56863001</v>
      </c>
      <c r="G903">
        <v>-114176</v>
      </c>
      <c r="H903">
        <v>88.39</v>
      </c>
      <c r="I903">
        <v>1080000</v>
      </c>
      <c r="J903" t="s">
        <v>29</v>
      </c>
      <c r="K903">
        <v>63.74</v>
      </c>
      <c r="L903">
        <v>64.819999999999993</v>
      </c>
      <c r="M903">
        <v>18214477</v>
      </c>
      <c r="N903">
        <v>18310281</v>
      </c>
      <c r="O903">
        <v>11</v>
      </c>
      <c r="P903">
        <v>9</v>
      </c>
      <c r="Q903">
        <v>11939342</v>
      </c>
      <c r="R903">
        <v>11742282</v>
      </c>
      <c r="S903">
        <v>2689590</v>
      </c>
      <c r="T903">
        <v>2680341</v>
      </c>
      <c r="U903">
        <v>0</v>
      </c>
      <c r="V903">
        <v>0</v>
      </c>
      <c r="W903">
        <v>0</v>
      </c>
      <c r="X903">
        <v>0</v>
      </c>
      <c r="Y903">
        <v>24133757</v>
      </c>
      <c r="Z903">
        <v>24130088</v>
      </c>
      <c r="AA903">
        <f t="shared" si="29"/>
        <v>-197060</v>
      </c>
      <c r="AB903">
        <f t="shared" si="28"/>
        <v>-1.6505097182072512</v>
      </c>
    </row>
    <row r="904" spans="1:28">
      <c r="A904" t="s">
        <v>28</v>
      </c>
      <c r="B904" s="2">
        <v>45689</v>
      </c>
      <c r="C904" s="2">
        <v>45658</v>
      </c>
      <c r="D904" s="2">
        <v>45771</v>
      </c>
      <c r="E904">
        <v>82299057</v>
      </c>
      <c r="F904">
        <v>82399953</v>
      </c>
      <c r="G904">
        <v>100896</v>
      </c>
      <c r="H904">
        <v>91.24</v>
      </c>
      <c r="I904">
        <v>560000</v>
      </c>
      <c r="J904" t="s">
        <v>29</v>
      </c>
      <c r="K904">
        <v>71.5</v>
      </c>
      <c r="L904">
        <v>72.06</v>
      </c>
      <c r="M904">
        <v>33735002</v>
      </c>
      <c r="N904">
        <v>33860754</v>
      </c>
      <c r="O904">
        <v>0</v>
      </c>
      <c r="P904">
        <v>0</v>
      </c>
      <c r="Q904">
        <v>9878936</v>
      </c>
      <c r="R904">
        <v>9845623</v>
      </c>
      <c r="S904">
        <v>6870976</v>
      </c>
      <c r="T904">
        <v>6903380</v>
      </c>
      <c r="U904">
        <v>0</v>
      </c>
      <c r="V904">
        <v>0</v>
      </c>
      <c r="W904">
        <v>0</v>
      </c>
      <c r="X904">
        <v>0</v>
      </c>
      <c r="Y904">
        <v>31814143</v>
      </c>
      <c r="Z904">
        <v>31790196</v>
      </c>
      <c r="AA904">
        <f t="shared" si="29"/>
        <v>-33313</v>
      </c>
      <c r="AB904">
        <f t="shared" si="28"/>
        <v>-0.33721242854493638</v>
      </c>
    </row>
    <row r="905" spans="1:28">
      <c r="A905" t="s">
        <v>30</v>
      </c>
      <c r="B905" s="2">
        <v>45689</v>
      </c>
      <c r="C905" s="2">
        <v>45658</v>
      </c>
      <c r="D905" s="2">
        <v>45771</v>
      </c>
      <c r="E905">
        <v>26094194</v>
      </c>
      <c r="F905">
        <v>26163714</v>
      </c>
      <c r="G905">
        <v>69520</v>
      </c>
      <c r="H905">
        <v>92.64</v>
      </c>
      <c r="I905">
        <v>100000</v>
      </c>
      <c r="J905" t="s">
        <v>29</v>
      </c>
      <c r="K905">
        <v>7.99</v>
      </c>
      <c r="L905">
        <v>8.09</v>
      </c>
      <c r="M905">
        <v>11984141</v>
      </c>
      <c r="N905">
        <v>12055507</v>
      </c>
      <c r="O905">
        <v>0</v>
      </c>
      <c r="P905">
        <v>0</v>
      </c>
      <c r="Q905">
        <v>1419772</v>
      </c>
      <c r="R905">
        <v>1417678</v>
      </c>
      <c r="S905">
        <v>2974004</v>
      </c>
      <c r="T905">
        <v>2967914</v>
      </c>
      <c r="U905">
        <v>0</v>
      </c>
      <c r="V905">
        <v>0</v>
      </c>
      <c r="W905">
        <v>0</v>
      </c>
      <c r="X905">
        <v>0</v>
      </c>
      <c r="Y905">
        <v>9716277</v>
      </c>
      <c r="Z905">
        <v>9722615</v>
      </c>
      <c r="AA905">
        <f t="shared" si="29"/>
        <v>-2094</v>
      </c>
      <c r="AB905">
        <f t="shared" si="28"/>
        <v>-0.14748846997968687</v>
      </c>
    </row>
    <row r="906" spans="1:28">
      <c r="A906" t="s">
        <v>31</v>
      </c>
      <c r="B906" s="2">
        <v>45689</v>
      </c>
      <c r="C906" s="2">
        <v>45658</v>
      </c>
      <c r="D906" s="2">
        <v>45771</v>
      </c>
      <c r="E906">
        <v>95231202</v>
      </c>
      <c r="F906">
        <v>95695459</v>
      </c>
      <c r="G906">
        <v>464257</v>
      </c>
      <c r="H906">
        <v>83.63</v>
      </c>
      <c r="I906">
        <v>900000</v>
      </c>
      <c r="J906" t="s">
        <v>29</v>
      </c>
      <c r="K906">
        <v>62.94</v>
      </c>
      <c r="L906">
        <v>63.84</v>
      </c>
      <c r="M906">
        <v>40672414</v>
      </c>
      <c r="N906">
        <v>40895126</v>
      </c>
      <c r="O906">
        <v>0</v>
      </c>
      <c r="P906">
        <v>0</v>
      </c>
      <c r="Q906">
        <v>7532447</v>
      </c>
      <c r="R906">
        <v>7656740</v>
      </c>
      <c r="S906">
        <v>5972157</v>
      </c>
      <c r="T906">
        <v>5782332</v>
      </c>
      <c r="U906">
        <v>0</v>
      </c>
      <c r="V906">
        <v>0</v>
      </c>
      <c r="W906">
        <v>0</v>
      </c>
      <c r="X906">
        <v>0</v>
      </c>
      <c r="Y906">
        <v>41054184</v>
      </c>
      <c r="Z906">
        <v>41361261</v>
      </c>
      <c r="AA906">
        <f t="shared" si="29"/>
        <v>124293</v>
      </c>
      <c r="AB906">
        <f t="shared" si="28"/>
        <v>1.6501012220862623</v>
      </c>
    </row>
    <row r="907" spans="1:28">
      <c r="A907" t="s">
        <v>32</v>
      </c>
      <c r="B907" s="2">
        <v>45689</v>
      </c>
      <c r="C907" s="2">
        <v>45658</v>
      </c>
      <c r="D907" s="2">
        <v>45771</v>
      </c>
      <c r="E907">
        <v>55656239</v>
      </c>
      <c r="F907">
        <v>55781963</v>
      </c>
      <c r="G907">
        <v>125724</v>
      </c>
      <c r="H907">
        <v>55.21</v>
      </c>
      <c r="I907">
        <v>560000</v>
      </c>
      <c r="J907" t="s">
        <v>29</v>
      </c>
      <c r="K907">
        <v>52.09</v>
      </c>
      <c r="L907">
        <v>52.65</v>
      </c>
      <c r="M907">
        <v>18561878</v>
      </c>
      <c r="N907">
        <v>18682396</v>
      </c>
      <c r="O907">
        <v>2</v>
      </c>
      <c r="P907">
        <v>1</v>
      </c>
      <c r="Q907">
        <v>16605020</v>
      </c>
      <c r="R907">
        <v>16609337</v>
      </c>
      <c r="S907">
        <v>0</v>
      </c>
      <c r="T907">
        <v>0</v>
      </c>
      <c r="U907">
        <v>0</v>
      </c>
      <c r="V907">
        <v>0</v>
      </c>
      <c r="W907">
        <v>789583</v>
      </c>
      <c r="X907">
        <v>789439</v>
      </c>
      <c r="Y907">
        <v>19699756</v>
      </c>
      <c r="Z907">
        <v>19700790</v>
      </c>
      <c r="AA907">
        <f t="shared" si="29"/>
        <v>4317</v>
      </c>
      <c r="AB907">
        <f t="shared" si="28"/>
        <v>2.599816200161156E-2</v>
      </c>
    </row>
    <row r="908" spans="1:28">
      <c r="A908" t="s">
        <v>33</v>
      </c>
      <c r="B908" s="2">
        <v>45689</v>
      </c>
      <c r="C908" s="2">
        <v>45658</v>
      </c>
      <c r="D908" s="2">
        <v>45771</v>
      </c>
      <c r="E908">
        <v>65185390</v>
      </c>
      <c r="F908">
        <v>65297425</v>
      </c>
      <c r="G908">
        <v>112035</v>
      </c>
      <c r="H908">
        <v>91.65</v>
      </c>
      <c r="I908">
        <v>800000</v>
      </c>
      <c r="J908" t="s">
        <v>29</v>
      </c>
      <c r="K908">
        <v>74.400000000000006</v>
      </c>
      <c r="L908">
        <v>75.2</v>
      </c>
      <c r="M908">
        <v>12308365</v>
      </c>
      <c r="N908">
        <v>12352213</v>
      </c>
      <c r="O908">
        <v>16</v>
      </c>
      <c r="P908">
        <v>13</v>
      </c>
      <c r="Q908">
        <v>19682084</v>
      </c>
      <c r="R908">
        <v>19675139</v>
      </c>
      <c r="S908">
        <v>3310773</v>
      </c>
      <c r="T908">
        <v>3302506</v>
      </c>
      <c r="U908">
        <v>0</v>
      </c>
      <c r="V908">
        <v>0</v>
      </c>
      <c r="W908">
        <v>0</v>
      </c>
      <c r="X908">
        <v>0</v>
      </c>
      <c r="Y908">
        <v>29884152</v>
      </c>
      <c r="Z908">
        <v>29967554</v>
      </c>
      <c r="AA908">
        <f t="shared" si="29"/>
        <v>-6945</v>
      </c>
      <c r="AB908">
        <f t="shared" si="28"/>
        <v>-3.5285897570602784E-2</v>
      </c>
    </row>
    <row r="909" spans="1:28">
      <c r="A909" t="s">
        <v>34</v>
      </c>
      <c r="B909" s="2">
        <v>45689</v>
      </c>
      <c r="C909" s="2">
        <v>45658</v>
      </c>
      <c r="D909" s="2">
        <v>45771</v>
      </c>
      <c r="E909">
        <v>26006968</v>
      </c>
      <c r="F909">
        <v>26080958</v>
      </c>
      <c r="G909">
        <v>73990</v>
      </c>
      <c r="H909">
        <v>92.26</v>
      </c>
      <c r="I909">
        <v>380000</v>
      </c>
      <c r="J909" t="s">
        <v>29</v>
      </c>
      <c r="K909">
        <v>34.409999999999997</v>
      </c>
      <c r="L909">
        <v>34.79</v>
      </c>
      <c r="M909">
        <v>7134781</v>
      </c>
      <c r="N909">
        <v>7191413</v>
      </c>
      <c r="O909">
        <v>0</v>
      </c>
      <c r="P909">
        <v>0</v>
      </c>
      <c r="Q909">
        <v>6369739</v>
      </c>
      <c r="R909">
        <v>6369641</v>
      </c>
      <c r="S909">
        <v>4188584</v>
      </c>
      <c r="T909">
        <v>4204949</v>
      </c>
      <c r="U909">
        <v>0</v>
      </c>
      <c r="V909">
        <v>0</v>
      </c>
      <c r="W909">
        <v>0</v>
      </c>
      <c r="X909">
        <v>0</v>
      </c>
      <c r="Y909">
        <v>8313864</v>
      </c>
      <c r="Z909">
        <v>8314955</v>
      </c>
      <c r="AA909">
        <f t="shared" si="29"/>
        <v>-98</v>
      </c>
      <c r="AB909">
        <f t="shared" si="28"/>
        <v>-1.5385245769096662E-3</v>
      </c>
    </row>
    <row r="910" spans="1:28">
      <c r="A910" t="s">
        <v>35</v>
      </c>
      <c r="B910" s="2">
        <v>45689</v>
      </c>
      <c r="C910" s="2">
        <v>45658</v>
      </c>
      <c r="D910" s="2">
        <v>45771</v>
      </c>
      <c r="E910">
        <v>8824716</v>
      </c>
      <c r="F910">
        <v>8825813</v>
      </c>
      <c r="G910">
        <v>1097</v>
      </c>
      <c r="H910">
        <v>98.3</v>
      </c>
      <c r="I910">
        <v>40000</v>
      </c>
      <c r="J910" t="s">
        <v>29</v>
      </c>
      <c r="K910">
        <v>4.5999999999999996</v>
      </c>
      <c r="L910">
        <v>4.6399999999999997</v>
      </c>
      <c r="M910">
        <v>3565291</v>
      </c>
      <c r="N910">
        <v>3569833</v>
      </c>
      <c r="O910">
        <v>0</v>
      </c>
      <c r="P910">
        <v>0</v>
      </c>
      <c r="Q910">
        <v>374422</v>
      </c>
      <c r="R910">
        <v>370541</v>
      </c>
      <c r="S910">
        <v>1668449</v>
      </c>
      <c r="T910">
        <v>1672546</v>
      </c>
      <c r="U910">
        <v>0</v>
      </c>
      <c r="V910">
        <v>0</v>
      </c>
      <c r="W910">
        <v>0</v>
      </c>
      <c r="X910">
        <v>0</v>
      </c>
      <c r="Y910">
        <v>3216554</v>
      </c>
      <c r="Z910">
        <v>3212893</v>
      </c>
      <c r="AA910">
        <f t="shared" si="29"/>
        <v>-3881</v>
      </c>
      <c r="AB910">
        <f t="shared" si="28"/>
        <v>-1.0365309730731636</v>
      </c>
    </row>
    <row r="911" spans="1:28">
      <c r="A911" t="s">
        <v>36</v>
      </c>
      <c r="B911" s="2">
        <v>45689</v>
      </c>
      <c r="C911" s="2">
        <v>45658</v>
      </c>
      <c r="D911" s="2">
        <v>45771</v>
      </c>
      <c r="E911">
        <v>12117306</v>
      </c>
      <c r="F911">
        <v>12092104</v>
      </c>
      <c r="G911">
        <v>-25202</v>
      </c>
      <c r="H911">
        <v>87.07</v>
      </c>
      <c r="I911">
        <v>60000</v>
      </c>
      <c r="J911" t="s">
        <v>29</v>
      </c>
      <c r="K911">
        <v>3.11</v>
      </c>
      <c r="L911">
        <v>3.17</v>
      </c>
      <c r="M911">
        <v>6110170</v>
      </c>
      <c r="N911">
        <v>6132818</v>
      </c>
      <c r="O911">
        <v>0</v>
      </c>
      <c r="P911">
        <v>0</v>
      </c>
      <c r="Q911">
        <v>258390</v>
      </c>
      <c r="R911">
        <v>248300</v>
      </c>
      <c r="S911">
        <v>869359</v>
      </c>
      <c r="T911">
        <v>862014</v>
      </c>
      <c r="U911">
        <v>0</v>
      </c>
      <c r="V911">
        <v>0</v>
      </c>
      <c r="W911">
        <v>0</v>
      </c>
      <c r="X911">
        <v>0</v>
      </c>
      <c r="Y911">
        <v>4879387</v>
      </c>
      <c r="Z911">
        <v>4848972</v>
      </c>
      <c r="AA911">
        <f t="shared" si="29"/>
        <v>-10090</v>
      </c>
      <c r="AB911">
        <f t="shared" si="28"/>
        <v>-3.9049498819613762</v>
      </c>
    </row>
    <row r="912" spans="1:28">
      <c r="A912" t="s">
        <v>37</v>
      </c>
      <c r="B912" s="2">
        <v>45689</v>
      </c>
      <c r="C912" s="2">
        <v>45658</v>
      </c>
      <c r="D912" s="2">
        <v>45771</v>
      </c>
      <c r="E912">
        <v>67915341</v>
      </c>
      <c r="F912">
        <v>68166434</v>
      </c>
      <c r="G912">
        <v>251093</v>
      </c>
      <c r="H912">
        <v>74.39</v>
      </c>
      <c r="I912">
        <v>460000</v>
      </c>
      <c r="J912" t="s">
        <v>29</v>
      </c>
      <c r="K912">
        <v>72.5</v>
      </c>
      <c r="L912">
        <v>72.959999999999994</v>
      </c>
      <c r="M912">
        <v>32216163</v>
      </c>
      <c r="N912">
        <v>32280135</v>
      </c>
      <c r="O912">
        <v>427</v>
      </c>
      <c r="P912">
        <v>411</v>
      </c>
      <c r="Q912">
        <v>6572969</v>
      </c>
      <c r="R912">
        <v>6678934</v>
      </c>
      <c r="S912">
        <v>4564330</v>
      </c>
      <c r="T912">
        <v>4568771</v>
      </c>
      <c r="U912">
        <v>0</v>
      </c>
      <c r="V912">
        <v>0</v>
      </c>
      <c r="W912">
        <v>0</v>
      </c>
      <c r="X912">
        <v>0</v>
      </c>
      <c r="Y912">
        <v>24561452</v>
      </c>
      <c r="Z912">
        <v>24638183</v>
      </c>
      <c r="AA912">
        <f t="shared" si="29"/>
        <v>105965</v>
      </c>
      <c r="AB912">
        <f t="shared" si="28"/>
        <v>1.6121329645705007</v>
      </c>
    </row>
    <row r="913" spans="1:28">
      <c r="A913" t="s">
        <v>38</v>
      </c>
      <c r="B913" s="2">
        <v>45689</v>
      </c>
      <c r="C913" s="2">
        <v>45658</v>
      </c>
      <c r="D913" s="2">
        <v>45771</v>
      </c>
      <c r="E913">
        <v>41337326</v>
      </c>
      <c r="F913">
        <v>41342432</v>
      </c>
      <c r="G913">
        <v>5106</v>
      </c>
      <c r="H913">
        <v>93.91</v>
      </c>
      <c r="I913">
        <v>210000</v>
      </c>
      <c r="J913" t="s">
        <v>29</v>
      </c>
      <c r="K913">
        <v>25.9</v>
      </c>
      <c r="L913">
        <v>26.11</v>
      </c>
      <c r="M913">
        <v>8891514</v>
      </c>
      <c r="N913">
        <v>8892846</v>
      </c>
      <c r="O913">
        <v>0</v>
      </c>
      <c r="P913">
        <v>0</v>
      </c>
      <c r="Q913">
        <v>12991598</v>
      </c>
      <c r="R913">
        <v>12982134</v>
      </c>
      <c r="S913">
        <v>8743507</v>
      </c>
      <c r="T913">
        <v>8749409</v>
      </c>
      <c r="U913">
        <v>0</v>
      </c>
      <c r="V913">
        <v>0</v>
      </c>
      <c r="W913">
        <v>0</v>
      </c>
      <c r="X913">
        <v>0</v>
      </c>
      <c r="Y913">
        <v>10710707</v>
      </c>
      <c r="Z913">
        <v>10718043</v>
      </c>
      <c r="AA913">
        <f t="shared" si="29"/>
        <v>-9464</v>
      </c>
      <c r="AB913">
        <f t="shared" si="28"/>
        <v>-7.2847081629219129E-2</v>
      </c>
    </row>
    <row r="914" spans="1:28">
      <c r="A914" t="s">
        <v>39</v>
      </c>
      <c r="B914" s="2">
        <v>45689</v>
      </c>
      <c r="C914" s="2">
        <v>45658</v>
      </c>
      <c r="D914" s="2">
        <v>45771</v>
      </c>
      <c r="E914">
        <v>22484551</v>
      </c>
      <c r="F914">
        <v>22489947</v>
      </c>
      <c r="G914">
        <v>5396</v>
      </c>
      <c r="H914">
        <v>88.11</v>
      </c>
      <c r="I914">
        <v>170000</v>
      </c>
      <c r="J914" t="s">
        <v>29</v>
      </c>
      <c r="K914">
        <v>19.829999999999998</v>
      </c>
      <c r="L914">
        <v>20</v>
      </c>
      <c r="M914">
        <v>5450894</v>
      </c>
      <c r="N914">
        <v>5461847</v>
      </c>
      <c r="O914">
        <v>0</v>
      </c>
      <c r="P914">
        <v>0</v>
      </c>
      <c r="Q914">
        <v>4905270</v>
      </c>
      <c r="R914">
        <v>4889056</v>
      </c>
      <c r="S914">
        <v>1460493</v>
      </c>
      <c r="T914">
        <v>1453411</v>
      </c>
      <c r="U914">
        <v>0</v>
      </c>
      <c r="V914">
        <v>0</v>
      </c>
      <c r="W914">
        <v>0</v>
      </c>
      <c r="X914">
        <v>0</v>
      </c>
      <c r="Y914">
        <v>10667894</v>
      </c>
      <c r="Z914">
        <v>10685633</v>
      </c>
      <c r="AA914">
        <f t="shared" si="29"/>
        <v>-16214</v>
      </c>
      <c r="AB914">
        <f t="shared" si="28"/>
        <v>-0.33054245739785987</v>
      </c>
    </row>
    <row r="915" spans="1:28">
      <c r="A915" t="s">
        <v>40</v>
      </c>
      <c r="B915" s="2">
        <v>45689</v>
      </c>
      <c r="C915" s="2">
        <v>45658</v>
      </c>
      <c r="D915" s="2">
        <v>45771</v>
      </c>
      <c r="E915">
        <v>79982707</v>
      </c>
      <c r="F915">
        <v>80442437</v>
      </c>
      <c r="G915">
        <v>459730</v>
      </c>
      <c r="H915">
        <v>85.35</v>
      </c>
      <c r="I915">
        <v>1130000</v>
      </c>
      <c r="J915" t="s">
        <v>29</v>
      </c>
      <c r="K915">
        <v>86.03</v>
      </c>
      <c r="L915">
        <v>87.16</v>
      </c>
      <c r="M915">
        <v>16521520</v>
      </c>
      <c r="N915">
        <v>16591031</v>
      </c>
      <c r="O915">
        <v>0</v>
      </c>
      <c r="P915">
        <v>0</v>
      </c>
      <c r="Q915">
        <v>13784241</v>
      </c>
      <c r="R915">
        <v>13723887</v>
      </c>
      <c r="S915">
        <v>5146819</v>
      </c>
      <c r="T915">
        <v>5150121</v>
      </c>
      <c r="U915">
        <v>0</v>
      </c>
      <c r="V915">
        <v>0</v>
      </c>
      <c r="W915">
        <v>0</v>
      </c>
      <c r="X915">
        <v>0</v>
      </c>
      <c r="Y915">
        <v>44530127</v>
      </c>
      <c r="Z915">
        <v>44977398</v>
      </c>
      <c r="AA915">
        <f t="shared" si="29"/>
        <v>-60354</v>
      </c>
      <c r="AB915">
        <f t="shared" si="28"/>
        <v>-0.43784782927112198</v>
      </c>
    </row>
    <row r="916" spans="1:28">
      <c r="A916" t="s">
        <v>41</v>
      </c>
      <c r="B916" s="2">
        <v>45689</v>
      </c>
      <c r="C916" s="2">
        <v>45658</v>
      </c>
      <c r="D916" s="2">
        <v>45771</v>
      </c>
      <c r="E916">
        <v>90725465</v>
      </c>
      <c r="F916">
        <v>90672902</v>
      </c>
      <c r="G916">
        <v>-52563</v>
      </c>
      <c r="H916">
        <v>92.84</v>
      </c>
      <c r="I916">
        <v>860000</v>
      </c>
      <c r="J916" t="s">
        <v>29</v>
      </c>
      <c r="K916">
        <v>89.08</v>
      </c>
      <c r="L916">
        <v>89.94</v>
      </c>
      <c r="M916">
        <v>22510042</v>
      </c>
      <c r="N916">
        <v>22587314</v>
      </c>
      <c r="O916">
        <v>0</v>
      </c>
      <c r="P916">
        <v>0</v>
      </c>
      <c r="Q916">
        <v>20513105</v>
      </c>
      <c r="R916">
        <v>20415258</v>
      </c>
      <c r="S916">
        <v>5428930</v>
      </c>
      <c r="T916">
        <v>5299872</v>
      </c>
      <c r="U916">
        <v>0</v>
      </c>
      <c r="V916">
        <v>0</v>
      </c>
      <c r="W916">
        <v>0</v>
      </c>
      <c r="X916">
        <v>0</v>
      </c>
      <c r="Y916">
        <v>42273388</v>
      </c>
      <c r="Z916">
        <v>42370458</v>
      </c>
      <c r="AA916">
        <f t="shared" si="29"/>
        <v>-97847</v>
      </c>
      <c r="AB916">
        <f t="shared" si="28"/>
        <v>-0.47699750964078819</v>
      </c>
    </row>
    <row r="917" spans="1:28">
      <c r="A917" t="s">
        <v>42</v>
      </c>
      <c r="B917" s="2">
        <v>45689</v>
      </c>
      <c r="C917" s="2">
        <v>45658</v>
      </c>
      <c r="D917" s="2">
        <v>45771</v>
      </c>
      <c r="E917">
        <v>33937765</v>
      </c>
      <c r="F917">
        <v>34086333</v>
      </c>
      <c r="G917">
        <v>148568</v>
      </c>
      <c r="H917">
        <v>71.650000000000006</v>
      </c>
      <c r="I917">
        <v>250000</v>
      </c>
      <c r="J917" t="s">
        <v>29</v>
      </c>
      <c r="K917">
        <v>35.729999999999997</v>
      </c>
      <c r="L917">
        <v>35.979999999999997</v>
      </c>
      <c r="M917">
        <v>10099114</v>
      </c>
      <c r="N917">
        <v>10129508</v>
      </c>
      <c r="O917">
        <v>58</v>
      </c>
      <c r="P917">
        <v>66</v>
      </c>
      <c r="Q917">
        <v>10682247</v>
      </c>
      <c r="R917">
        <v>10700586</v>
      </c>
      <c r="S917">
        <v>0</v>
      </c>
      <c r="T917">
        <v>0</v>
      </c>
      <c r="U917">
        <v>0</v>
      </c>
      <c r="V917">
        <v>0</v>
      </c>
      <c r="W917">
        <v>212730</v>
      </c>
      <c r="X917">
        <v>210840</v>
      </c>
      <c r="Y917">
        <v>12943616</v>
      </c>
      <c r="Z917">
        <v>13045333</v>
      </c>
      <c r="AA917">
        <f t="shared" si="29"/>
        <v>18339</v>
      </c>
      <c r="AB917">
        <f t="shared" si="28"/>
        <v>0.17167736338618644</v>
      </c>
    </row>
    <row r="918" spans="1:28">
      <c r="A918" t="s">
        <v>43</v>
      </c>
      <c r="B918" s="2">
        <v>45689</v>
      </c>
      <c r="C918" s="2">
        <v>45658</v>
      </c>
      <c r="D918" s="2">
        <v>45771</v>
      </c>
      <c r="E918">
        <v>12463281</v>
      </c>
      <c r="F918">
        <v>12521832</v>
      </c>
      <c r="G918">
        <v>58551</v>
      </c>
      <c r="H918">
        <v>95.68</v>
      </c>
      <c r="I918">
        <v>20000</v>
      </c>
      <c r="J918" t="s">
        <v>29</v>
      </c>
      <c r="K918">
        <v>2.5</v>
      </c>
      <c r="L918">
        <v>2.52</v>
      </c>
      <c r="M918">
        <v>6273468</v>
      </c>
      <c r="N918">
        <v>6297679</v>
      </c>
      <c r="O918">
        <v>0</v>
      </c>
      <c r="P918">
        <v>0</v>
      </c>
      <c r="Q918">
        <v>649714</v>
      </c>
      <c r="R918">
        <v>643723</v>
      </c>
      <c r="S918">
        <v>1286014</v>
      </c>
      <c r="T918">
        <v>1287306</v>
      </c>
      <c r="U918">
        <v>0</v>
      </c>
      <c r="V918">
        <v>0</v>
      </c>
      <c r="W918">
        <v>0</v>
      </c>
      <c r="X918">
        <v>0</v>
      </c>
      <c r="Y918">
        <v>4254085</v>
      </c>
      <c r="Z918">
        <v>4293124</v>
      </c>
      <c r="AA918">
        <f t="shared" si="29"/>
        <v>-5991</v>
      </c>
      <c r="AB918">
        <f t="shared" si="28"/>
        <v>-0.92209803082587105</v>
      </c>
    </row>
    <row r="919" spans="1:28">
      <c r="A919" t="s">
        <v>44</v>
      </c>
      <c r="B919" s="2">
        <v>45689</v>
      </c>
      <c r="C919" s="2">
        <v>45658</v>
      </c>
      <c r="D919" s="2">
        <v>45771</v>
      </c>
      <c r="E919">
        <v>34417824</v>
      </c>
      <c r="F919">
        <v>34599884</v>
      </c>
      <c r="G919">
        <v>182060</v>
      </c>
      <c r="H919">
        <v>90.63</v>
      </c>
      <c r="I919">
        <v>190000</v>
      </c>
      <c r="J919" t="s">
        <v>29</v>
      </c>
      <c r="K919">
        <v>19.07</v>
      </c>
      <c r="L919">
        <v>19.260000000000002</v>
      </c>
      <c r="M919">
        <v>11749063</v>
      </c>
      <c r="N919">
        <v>11810695</v>
      </c>
      <c r="O919">
        <v>0</v>
      </c>
      <c r="P919">
        <v>0</v>
      </c>
      <c r="Q919">
        <v>1384864</v>
      </c>
      <c r="R919">
        <v>1394725</v>
      </c>
      <c r="S919">
        <v>5577316</v>
      </c>
      <c r="T919">
        <v>5573420</v>
      </c>
      <c r="U919">
        <v>0</v>
      </c>
      <c r="V919">
        <v>0</v>
      </c>
      <c r="W919">
        <v>0</v>
      </c>
      <c r="X919">
        <v>0</v>
      </c>
      <c r="Y919">
        <v>15706581</v>
      </c>
      <c r="Z919">
        <v>15821044</v>
      </c>
      <c r="AA919">
        <f t="shared" si="29"/>
        <v>9861</v>
      </c>
      <c r="AB919">
        <f t="shared" si="28"/>
        <v>0.71205547981606854</v>
      </c>
    </row>
    <row r="920" spans="1:28">
      <c r="A920" t="s">
        <v>45</v>
      </c>
      <c r="B920" s="2">
        <v>45689</v>
      </c>
      <c r="C920" s="2">
        <v>45658</v>
      </c>
      <c r="D920" s="2">
        <v>45771</v>
      </c>
      <c r="E920">
        <v>33892399</v>
      </c>
      <c r="F920">
        <v>33947876</v>
      </c>
      <c r="G920">
        <v>55477</v>
      </c>
      <c r="H920">
        <v>91.04</v>
      </c>
      <c r="I920">
        <v>320000</v>
      </c>
      <c r="J920" t="s">
        <v>29</v>
      </c>
      <c r="K920">
        <v>35.69</v>
      </c>
      <c r="L920">
        <v>36.01</v>
      </c>
      <c r="M920">
        <v>12422911</v>
      </c>
      <c r="N920">
        <v>12500330</v>
      </c>
      <c r="O920">
        <v>6</v>
      </c>
      <c r="P920">
        <v>6</v>
      </c>
      <c r="Q920">
        <v>6077318</v>
      </c>
      <c r="R920">
        <v>6058132</v>
      </c>
      <c r="S920">
        <v>4092355</v>
      </c>
      <c r="T920">
        <v>4060849</v>
      </c>
      <c r="U920">
        <v>0</v>
      </c>
      <c r="V920">
        <v>0</v>
      </c>
      <c r="W920">
        <v>0</v>
      </c>
      <c r="X920">
        <v>0</v>
      </c>
      <c r="Y920">
        <v>11299809</v>
      </c>
      <c r="Z920">
        <v>11328559</v>
      </c>
      <c r="AA920">
        <f t="shared" si="29"/>
        <v>-19186</v>
      </c>
      <c r="AB920">
        <f t="shared" si="28"/>
        <v>-0.31569847093734438</v>
      </c>
    </row>
    <row r="921" spans="1:28">
      <c r="A921" t="s">
        <v>46</v>
      </c>
      <c r="B921" s="2">
        <v>45689</v>
      </c>
      <c r="C921" s="2">
        <v>45658</v>
      </c>
      <c r="D921" s="2">
        <v>45771</v>
      </c>
      <c r="E921">
        <v>64315280</v>
      </c>
      <c r="F921">
        <v>64488718</v>
      </c>
      <c r="G921">
        <v>173438</v>
      </c>
      <c r="H921">
        <v>89.23</v>
      </c>
      <c r="I921">
        <v>610000</v>
      </c>
      <c r="J921" t="s">
        <v>29</v>
      </c>
      <c r="K921">
        <v>73.239999999999995</v>
      </c>
      <c r="L921">
        <v>73.849999999999994</v>
      </c>
      <c r="M921">
        <v>23235660</v>
      </c>
      <c r="N921">
        <v>23346647</v>
      </c>
      <c r="O921">
        <v>81</v>
      </c>
      <c r="P921">
        <v>80</v>
      </c>
      <c r="Q921">
        <v>9219961</v>
      </c>
      <c r="R921">
        <v>9218487</v>
      </c>
      <c r="S921">
        <v>5614566</v>
      </c>
      <c r="T921">
        <v>5622038</v>
      </c>
      <c r="U921">
        <v>0</v>
      </c>
      <c r="V921">
        <v>0</v>
      </c>
      <c r="W921">
        <v>0</v>
      </c>
      <c r="X921">
        <v>0</v>
      </c>
      <c r="Y921">
        <v>26245012</v>
      </c>
      <c r="Z921">
        <v>26301466</v>
      </c>
      <c r="AA921">
        <f t="shared" si="29"/>
        <v>-1474</v>
      </c>
      <c r="AB921">
        <f t="shared" si="28"/>
        <v>-1.5987052439809669E-2</v>
      </c>
    </row>
    <row r="922" spans="1:28">
      <c r="A922" t="s">
        <v>47</v>
      </c>
      <c r="B922" s="2">
        <v>45689</v>
      </c>
      <c r="C922" s="2">
        <v>45658</v>
      </c>
      <c r="D922" s="2">
        <v>45771</v>
      </c>
      <c r="E922">
        <v>77235735</v>
      </c>
      <c r="F922">
        <v>77302501</v>
      </c>
      <c r="G922">
        <v>66766</v>
      </c>
      <c r="H922">
        <v>82.56</v>
      </c>
      <c r="I922">
        <v>530000</v>
      </c>
      <c r="J922" t="s">
        <v>29</v>
      </c>
      <c r="K922">
        <v>68.14</v>
      </c>
      <c r="L922">
        <v>68.67</v>
      </c>
      <c r="M922">
        <v>29966292</v>
      </c>
      <c r="N922">
        <v>30067680</v>
      </c>
      <c r="O922">
        <v>0</v>
      </c>
      <c r="P922">
        <v>0</v>
      </c>
      <c r="Q922">
        <v>14854350</v>
      </c>
      <c r="R922">
        <v>14807824</v>
      </c>
      <c r="S922">
        <v>7775426</v>
      </c>
      <c r="T922">
        <v>7803561</v>
      </c>
      <c r="U922">
        <v>0</v>
      </c>
      <c r="V922">
        <v>0</v>
      </c>
      <c r="W922">
        <v>0</v>
      </c>
      <c r="X922">
        <v>0</v>
      </c>
      <c r="Y922">
        <v>24639667</v>
      </c>
      <c r="Z922">
        <v>24623436</v>
      </c>
      <c r="AA922">
        <f t="shared" si="29"/>
        <v>-46526</v>
      </c>
      <c r="AB922">
        <f t="shared" si="28"/>
        <v>-0.31321464756115214</v>
      </c>
    </row>
    <row r="923" spans="1:28">
      <c r="A923" t="s">
        <v>48</v>
      </c>
      <c r="B923" s="2">
        <v>45689</v>
      </c>
      <c r="C923" s="2">
        <v>45658</v>
      </c>
      <c r="D923" s="2">
        <v>45771</v>
      </c>
      <c r="E923">
        <v>101742714</v>
      </c>
      <c r="F923">
        <v>102060739</v>
      </c>
      <c r="G923">
        <v>318025</v>
      </c>
      <c r="H923">
        <v>90.08</v>
      </c>
      <c r="I923">
        <v>1650000</v>
      </c>
      <c r="J923" t="s">
        <v>29</v>
      </c>
      <c r="K923">
        <v>108.37</v>
      </c>
      <c r="L923">
        <v>110.02</v>
      </c>
      <c r="M923">
        <v>36432568</v>
      </c>
      <c r="N923">
        <v>36539391</v>
      </c>
      <c r="O923">
        <v>0</v>
      </c>
      <c r="P923">
        <v>0</v>
      </c>
      <c r="Q923">
        <v>15975202</v>
      </c>
      <c r="R923">
        <v>16061155</v>
      </c>
      <c r="S923">
        <v>8195114</v>
      </c>
      <c r="T923">
        <v>8081460</v>
      </c>
      <c r="U923">
        <v>0</v>
      </c>
      <c r="V923">
        <v>0</v>
      </c>
      <c r="W923">
        <v>0</v>
      </c>
      <c r="X923">
        <v>0</v>
      </c>
      <c r="Y923">
        <v>41139830</v>
      </c>
      <c r="Z923">
        <v>41378733</v>
      </c>
      <c r="AA923">
        <f t="shared" si="29"/>
        <v>85953</v>
      </c>
      <c r="AB923">
        <f t="shared" si="28"/>
        <v>0.53804014496968489</v>
      </c>
    </row>
    <row r="924" spans="1:28">
      <c r="A924" t="s">
        <v>49</v>
      </c>
      <c r="B924" s="2">
        <v>45689</v>
      </c>
      <c r="C924" s="2">
        <v>45658</v>
      </c>
      <c r="D924" s="2">
        <v>45771</v>
      </c>
      <c r="E924">
        <v>62557142</v>
      </c>
      <c r="F924">
        <v>62561667</v>
      </c>
      <c r="G924">
        <v>4525</v>
      </c>
      <c r="H924">
        <v>87.09</v>
      </c>
      <c r="I924">
        <v>1270000</v>
      </c>
      <c r="J924" t="s">
        <v>29</v>
      </c>
      <c r="K924">
        <v>81.41</v>
      </c>
      <c r="L924">
        <v>82.68</v>
      </c>
      <c r="M924">
        <v>18808741</v>
      </c>
      <c r="N924">
        <v>18893870</v>
      </c>
      <c r="O924">
        <v>0</v>
      </c>
      <c r="P924">
        <v>0</v>
      </c>
      <c r="Q924">
        <v>14446899</v>
      </c>
      <c r="R924">
        <v>14411142</v>
      </c>
      <c r="S924">
        <v>5158043</v>
      </c>
      <c r="T924">
        <v>4995971</v>
      </c>
      <c r="U924">
        <v>0</v>
      </c>
      <c r="V924">
        <v>0</v>
      </c>
      <c r="W924">
        <v>0</v>
      </c>
      <c r="X924">
        <v>0</v>
      </c>
      <c r="Y924">
        <v>24143459</v>
      </c>
      <c r="Z924">
        <v>24260684</v>
      </c>
      <c r="AA924">
        <f t="shared" si="29"/>
        <v>-35757</v>
      </c>
      <c r="AB924">
        <f t="shared" si="28"/>
        <v>-0.24750640258508072</v>
      </c>
    </row>
    <row r="925" spans="1:28">
      <c r="A925" t="s">
        <v>50</v>
      </c>
      <c r="B925" s="2">
        <v>45689</v>
      </c>
      <c r="C925" s="2">
        <v>45658</v>
      </c>
      <c r="D925" s="2">
        <v>45771</v>
      </c>
      <c r="E925">
        <v>56863001</v>
      </c>
      <c r="F925">
        <v>57033755</v>
      </c>
      <c r="G925">
        <v>170754</v>
      </c>
      <c r="H925">
        <v>88.42</v>
      </c>
      <c r="I925">
        <v>970000</v>
      </c>
      <c r="J925" t="s">
        <v>29</v>
      </c>
      <c r="K925">
        <v>64.819999999999993</v>
      </c>
      <c r="L925">
        <v>65.790000000000006</v>
      </c>
      <c r="M925">
        <v>18310281</v>
      </c>
      <c r="N925">
        <v>18414246</v>
      </c>
      <c r="O925">
        <v>9</v>
      </c>
      <c r="P925">
        <v>9</v>
      </c>
      <c r="Q925">
        <v>11742282</v>
      </c>
      <c r="R925">
        <v>11722068</v>
      </c>
      <c r="S925">
        <v>2680341</v>
      </c>
      <c r="T925">
        <v>2669657</v>
      </c>
      <c r="U925">
        <v>0</v>
      </c>
      <c r="V925">
        <v>0</v>
      </c>
      <c r="W925">
        <v>0</v>
      </c>
      <c r="X925">
        <v>0</v>
      </c>
      <c r="Y925">
        <v>24130088</v>
      </c>
      <c r="Z925">
        <v>24227775</v>
      </c>
      <c r="AA925">
        <f t="shared" si="29"/>
        <v>-20214</v>
      </c>
      <c r="AB925">
        <f t="shared" si="28"/>
        <v>-0.17214711757050291</v>
      </c>
    </row>
    <row r="926" spans="1:28">
      <c r="A926" t="s">
        <v>28</v>
      </c>
      <c r="B926" s="2">
        <v>45717</v>
      </c>
      <c r="C926" s="2">
        <v>45689</v>
      </c>
      <c r="D926" s="2">
        <v>45784</v>
      </c>
      <c r="E926">
        <v>82399953</v>
      </c>
      <c r="F926">
        <v>82336009</v>
      </c>
      <c r="G926">
        <v>-63944</v>
      </c>
      <c r="H926">
        <v>92.04</v>
      </c>
      <c r="I926">
        <v>630000</v>
      </c>
      <c r="J926" t="s">
        <v>29</v>
      </c>
      <c r="K926">
        <v>72.06</v>
      </c>
      <c r="L926">
        <v>72.69</v>
      </c>
      <c r="M926">
        <v>33860754</v>
      </c>
      <c r="N926">
        <v>33923195</v>
      </c>
      <c r="O926">
        <v>0</v>
      </c>
      <c r="P926">
        <v>0</v>
      </c>
      <c r="Q926">
        <v>9845623</v>
      </c>
      <c r="R926">
        <v>9699287</v>
      </c>
      <c r="S926">
        <v>6903380</v>
      </c>
      <c r="T926">
        <v>6937453</v>
      </c>
      <c r="U926">
        <v>0</v>
      </c>
      <c r="V926">
        <v>0</v>
      </c>
      <c r="W926">
        <v>0</v>
      </c>
      <c r="X926">
        <v>0</v>
      </c>
      <c r="Y926">
        <v>31790196</v>
      </c>
      <c r="Z926">
        <v>31776074</v>
      </c>
      <c r="AA926">
        <f t="shared" si="29"/>
        <v>-146336</v>
      </c>
      <c r="AB926">
        <f t="shared" si="28"/>
        <v>-1.4863051327478209</v>
      </c>
    </row>
    <row r="927" spans="1:28">
      <c r="A927" t="s">
        <v>30</v>
      </c>
      <c r="B927" s="2">
        <v>45717</v>
      </c>
      <c r="C927" s="2">
        <v>45689</v>
      </c>
      <c r="D927" s="2">
        <v>45784</v>
      </c>
      <c r="E927">
        <v>26163714</v>
      </c>
      <c r="F927">
        <v>26358811</v>
      </c>
      <c r="G927">
        <v>195097</v>
      </c>
      <c r="H927">
        <v>92.68</v>
      </c>
      <c r="I927">
        <v>110000</v>
      </c>
      <c r="J927" t="s">
        <v>29</v>
      </c>
      <c r="K927">
        <v>8.09</v>
      </c>
      <c r="L927">
        <v>8.1999999999999993</v>
      </c>
      <c r="M927">
        <v>12055507</v>
      </c>
      <c r="N927">
        <v>12241287</v>
      </c>
      <c r="O927">
        <v>0</v>
      </c>
      <c r="P927">
        <v>0</v>
      </c>
      <c r="Q927">
        <v>1417678</v>
      </c>
      <c r="R927">
        <v>1420096</v>
      </c>
      <c r="S927">
        <v>2967914</v>
      </c>
      <c r="T927">
        <v>2970848</v>
      </c>
      <c r="U927">
        <v>0</v>
      </c>
      <c r="V927">
        <v>0</v>
      </c>
      <c r="W927">
        <v>0</v>
      </c>
      <c r="X927">
        <v>0</v>
      </c>
      <c r="Y927">
        <v>9722615</v>
      </c>
      <c r="Z927">
        <v>9726580</v>
      </c>
      <c r="AA927">
        <f t="shared" si="29"/>
        <v>2418</v>
      </c>
      <c r="AB927">
        <f t="shared" si="28"/>
        <v>0.17056059274390942</v>
      </c>
    </row>
    <row r="928" spans="1:28">
      <c r="A928" t="s">
        <v>31</v>
      </c>
      <c r="B928" s="2">
        <v>45717</v>
      </c>
      <c r="C928" s="2">
        <v>45689</v>
      </c>
      <c r="D928" s="2">
        <v>45784</v>
      </c>
      <c r="E928">
        <v>95695459</v>
      </c>
      <c r="F928">
        <v>96326359</v>
      </c>
      <c r="G928">
        <v>630900</v>
      </c>
      <c r="H928">
        <v>84.6</v>
      </c>
      <c r="I928">
        <v>1090000</v>
      </c>
      <c r="J928" t="s">
        <v>29</v>
      </c>
      <c r="K928">
        <v>63.84</v>
      </c>
      <c r="L928">
        <v>64.930000000000007</v>
      </c>
      <c r="M928">
        <v>40895126</v>
      </c>
      <c r="N928">
        <v>41096191</v>
      </c>
      <c r="O928">
        <v>0</v>
      </c>
      <c r="P928">
        <v>0</v>
      </c>
      <c r="Q928">
        <v>7656740</v>
      </c>
      <c r="R928">
        <v>7727548</v>
      </c>
      <c r="S928">
        <v>5782332</v>
      </c>
      <c r="T928">
        <v>5771775</v>
      </c>
      <c r="U928">
        <v>0</v>
      </c>
      <c r="V928">
        <v>0</v>
      </c>
      <c r="W928">
        <v>0</v>
      </c>
      <c r="X928">
        <v>0</v>
      </c>
      <c r="Y928">
        <v>41361261</v>
      </c>
      <c r="Z928">
        <v>41730845</v>
      </c>
      <c r="AA928">
        <f t="shared" si="29"/>
        <v>70808</v>
      </c>
      <c r="AB928">
        <f t="shared" si="28"/>
        <v>0.92477999775361308</v>
      </c>
    </row>
    <row r="929" spans="1:28">
      <c r="A929" t="s">
        <v>32</v>
      </c>
      <c r="B929" s="2">
        <v>45717</v>
      </c>
      <c r="C929" s="2">
        <v>45689</v>
      </c>
      <c r="D929" s="2">
        <v>45784</v>
      </c>
      <c r="E929">
        <v>55781963</v>
      </c>
      <c r="F929">
        <v>56119837</v>
      </c>
      <c r="G929">
        <v>337874</v>
      </c>
      <c r="H929">
        <v>54.68</v>
      </c>
      <c r="I929">
        <v>600000</v>
      </c>
      <c r="J929" t="s">
        <v>29</v>
      </c>
      <c r="K929">
        <v>52.65</v>
      </c>
      <c r="L929">
        <v>53.25</v>
      </c>
      <c r="M929">
        <v>18682396</v>
      </c>
      <c r="N929">
        <v>18771602</v>
      </c>
      <c r="O929">
        <v>1</v>
      </c>
      <c r="P929">
        <v>1</v>
      </c>
      <c r="Q929">
        <v>16609337</v>
      </c>
      <c r="R929">
        <v>16756217</v>
      </c>
      <c r="S929">
        <v>0</v>
      </c>
      <c r="T929">
        <v>0</v>
      </c>
      <c r="U929">
        <v>0</v>
      </c>
      <c r="V929">
        <v>0</v>
      </c>
      <c r="W929">
        <v>789439</v>
      </c>
      <c r="X929">
        <v>789314</v>
      </c>
      <c r="Y929">
        <v>19700790</v>
      </c>
      <c r="Z929">
        <v>19802703</v>
      </c>
      <c r="AA929">
        <f t="shared" si="29"/>
        <v>146880</v>
      </c>
      <c r="AB929">
        <f t="shared" si="28"/>
        <v>0.88432187269124585</v>
      </c>
    </row>
    <row r="930" spans="1:28">
      <c r="A930" t="s">
        <v>33</v>
      </c>
      <c r="B930" s="2">
        <v>45717</v>
      </c>
      <c r="C930" s="2">
        <v>45689</v>
      </c>
      <c r="D930" s="2">
        <v>45784</v>
      </c>
      <c r="E930">
        <v>65297425</v>
      </c>
      <c r="F930">
        <v>65373269</v>
      </c>
      <c r="G930">
        <v>75844</v>
      </c>
      <c r="H930">
        <v>91.92</v>
      </c>
      <c r="I930">
        <v>910000</v>
      </c>
      <c r="J930" t="s">
        <v>29</v>
      </c>
      <c r="K930">
        <v>75.2</v>
      </c>
      <c r="L930">
        <v>76.11</v>
      </c>
      <c r="M930">
        <v>12352213</v>
      </c>
      <c r="N930">
        <v>12359251</v>
      </c>
      <c r="O930">
        <v>13</v>
      </c>
      <c r="P930">
        <v>1</v>
      </c>
      <c r="Q930">
        <v>19675139</v>
      </c>
      <c r="R930">
        <v>19629831</v>
      </c>
      <c r="S930">
        <v>3302506</v>
      </c>
      <c r="T930">
        <v>3266954</v>
      </c>
      <c r="U930">
        <v>0</v>
      </c>
      <c r="V930">
        <v>0</v>
      </c>
      <c r="W930">
        <v>0</v>
      </c>
      <c r="X930">
        <v>0</v>
      </c>
      <c r="Y930">
        <v>29967554</v>
      </c>
      <c r="Z930">
        <v>30117232</v>
      </c>
      <c r="AA930">
        <f t="shared" si="29"/>
        <v>-45308</v>
      </c>
      <c r="AB930">
        <f t="shared" si="28"/>
        <v>-0.2302804569766953</v>
      </c>
    </row>
    <row r="931" spans="1:28">
      <c r="A931" t="s">
        <v>34</v>
      </c>
      <c r="B931" s="2">
        <v>45717</v>
      </c>
      <c r="C931" s="2">
        <v>45689</v>
      </c>
      <c r="D931" s="2">
        <v>45784</v>
      </c>
      <c r="E931">
        <v>26080958</v>
      </c>
      <c r="F931">
        <v>26126693</v>
      </c>
      <c r="G931">
        <v>45735</v>
      </c>
      <c r="H931">
        <v>92.79</v>
      </c>
      <c r="I931">
        <v>400000</v>
      </c>
      <c r="J931" t="s">
        <v>29</v>
      </c>
      <c r="K931">
        <v>34.79</v>
      </c>
      <c r="L931">
        <v>35.19</v>
      </c>
      <c r="M931">
        <v>7191413</v>
      </c>
      <c r="N931">
        <v>7245664</v>
      </c>
      <c r="O931">
        <v>0</v>
      </c>
      <c r="P931">
        <v>0</v>
      </c>
      <c r="Q931">
        <v>6369641</v>
      </c>
      <c r="R931">
        <v>6365079</v>
      </c>
      <c r="S931">
        <v>4204949</v>
      </c>
      <c r="T931">
        <v>4212938</v>
      </c>
      <c r="U931">
        <v>0</v>
      </c>
      <c r="V931">
        <v>0</v>
      </c>
      <c r="W931">
        <v>0</v>
      </c>
      <c r="X931">
        <v>0</v>
      </c>
      <c r="Y931">
        <v>8314955</v>
      </c>
      <c r="Z931">
        <v>8303012</v>
      </c>
      <c r="AA931">
        <f t="shared" si="29"/>
        <v>-4562</v>
      </c>
      <c r="AB931">
        <f t="shared" si="28"/>
        <v>-7.1620990884729618E-2</v>
      </c>
    </row>
    <row r="932" spans="1:28">
      <c r="A932" t="s">
        <v>35</v>
      </c>
      <c r="B932" s="2">
        <v>45717</v>
      </c>
      <c r="C932" s="2">
        <v>45689</v>
      </c>
      <c r="D932" s="2">
        <v>45784</v>
      </c>
      <c r="E932">
        <v>8825813</v>
      </c>
      <c r="F932">
        <v>8854330</v>
      </c>
      <c r="G932">
        <v>28517</v>
      </c>
      <c r="H932">
        <v>103.75</v>
      </c>
      <c r="I932">
        <v>40000</v>
      </c>
      <c r="J932" t="s">
        <v>29</v>
      </c>
      <c r="K932">
        <v>4.6399999999999997</v>
      </c>
      <c r="L932">
        <v>4.68</v>
      </c>
      <c r="M932">
        <v>3569833</v>
      </c>
      <c r="N932">
        <v>3575615</v>
      </c>
      <c r="O932">
        <v>0</v>
      </c>
      <c r="P932">
        <v>0</v>
      </c>
      <c r="Q932">
        <v>370541</v>
      </c>
      <c r="R932">
        <v>379892</v>
      </c>
      <c r="S932">
        <v>1672546</v>
      </c>
      <c r="T932">
        <v>1682282</v>
      </c>
      <c r="U932">
        <v>0</v>
      </c>
      <c r="V932">
        <v>0</v>
      </c>
      <c r="W932">
        <v>0</v>
      </c>
      <c r="X932">
        <v>0</v>
      </c>
      <c r="Y932">
        <v>3212893</v>
      </c>
      <c r="Z932">
        <v>3216541</v>
      </c>
      <c r="AA932">
        <f t="shared" si="29"/>
        <v>9351</v>
      </c>
      <c r="AB932">
        <f t="shared" si="28"/>
        <v>2.52360737408276</v>
      </c>
    </row>
    <row r="933" spans="1:28">
      <c r="A933" t="s">
        <v>36</v>
      </c>
      <c r="B933" s="2">
        <v>45717</v>
      </c>
      <c r="C933" s="2">
        <v>45689</v>
      </c>
      <c r="D933" s="2">
        <v>45784</v>
      </c>
      <c r="E933">
        <v>12092104</v>
      </c>
      <c r="F933">
        <v>12181151</v>
      </c>
      <c r="G933">
        <v>89047</v>
      </c>
      <c r="H933">
        <v>84.82</v>
      </c>
      <c r="I933">
        <v>60000</v>
      </c>
      <c r="J933" t="s">
        <v>29</v>
      </c>
      <c r="K933">
        <v>3.17</v>
      </c>
      <c r="L933">
        <v>3.23</v>
      </c>
      <c r="M933">
        <v>6132818</v>
      </c>
      <c r="N933">
        <v>6179009</v>
      </c>
      <c r="O933">
        <v>0</v>
      </c>
      <c r="P933">
        <v>0</v>
      </c>
      <c r="Q933">
        <v>248300</v>
      </c>
      <c r="R933">
        <v>262607</v>
      </c>
      <c r="S933">
        <v>862014</v>
      </c>
      <c r="T933">
        <v>866466</v>
      </c>
      <c r="U933">
        <v>0</v>
      </c>
      <c r="V933">
        <v>0</v>
      </c>
      <c r="W933">
        <v>0</v>
      </c>
      <c r="X933">
        <v>0</v>
      </c>
      <c r="Y933">
        <v>4848972</v>
      </c>
      <c r="Z933">
        <v>4873069</v>
      </c>
      <c r="AA933">
        <f t="shared" si="29"/>
        <v>14307</v>
      </c>
      <c r="AB933">
        <f t="shared" si="28"/>
        <v>5.7619814740233588</v>
      </c>
    </row>
    <row r="934" spans="1:28">
      <c r="A934" t="s">
        <v>37</v>
      </c>
      <c r="B934" s="2">
        <v>45717</v>
      </c>
      <c r="C934" s="2">
        <v>45689</v>
      </c>
      <c r="D934" s="2">
        <v>45784</v>
      </c>
      <c r="E934">
        <v>68166434</v>
      </c>
      <c r="F934">
        <v>68295089</v>
      </c>
      <c r="G934">
        <v>128655</v>
      </c>
      <c r="H934">
        <v>75.41</v>
      </c>
      <c r="I934">
        <v>570000</v>
      </c>
      <c r="J934" t="s">
        <v>29</v>
      </c>
      <c r="K934">
        <v>72.959999999999994</v>
      </c>
      <c r="L934">
        <v>73.53</v>
      </c>
      <c r="M934">
        <v>32280135</v>
      </c>
      <c r="N934">
        <v>32306447</v>
      </c>
      <c r="O934">
        <v>411</v>
      </c>
      <c r="P934">
        <v>412</v>
      </c>
      <c r="Q934">
        <v>6678934</v>
      </c>
      <c r="R934">
        <v>6628032</v>
      </c>
      <c r="S934">
        <v>4568771</v>
      </c>
      <c r="T934">
        <v>4573403</v>
      </c>
      <c r="U934">
        <v>0</v>
      </c>
      <c r="V934">
        <v>0</v>
      </c>
      <c r="W934">
        <v>0</v>
      </c>
      <c r="X934">
        <v>0</v>
      </c>
      <c r="Y934">
        <v>24638183</v>
      </c>
      <c r="Z934">
        <v>24786795</v>
      </c>
      <c r="AA934">
        <f t="shared" si="29"/>
        <v>-50902</v>
      </c>
      <c r="AB934">
        <f t="shared" si="28"/>
        <v>-0.76212760898670351</v>
      </c>
    </row>
    <row r="935" spans="1:28">
      <c r="A935" t="s">
        <v>38</v>
      </c>
      <c r="B935" s="2">
        <v>45717</v>
      </c>
      <c r="C935" s="2">
        <v>45689</v>
      </c>
      <c r="D935" s="2">
        <v>45784</v>
      </c>
      <c r="E935">
        <v>41342432</v>
      </c>
      <c r="F935">
        <v>41316430</v>
      </c>
      <c r="G935">
        <v>-26002</v>
      </c>
      <c r="H935">
        <v>94.16</v>
      </c>
      <c r="I935">
        <v>230000</v>
      </c>
      <c r="J935" t="s">
        <v>29</v>
      </c>
      <c r="K935">
        <v>26.11</v>
      </c>
      <c r="L935">
        <v>26.34</v>
      </c>
      <c r="M935">
        <v>8892846</v>
      </c>
      <c r="N935">
        <v>8915860</v>
      </c>
      <c r="O935">
        <v>0</v>
      </c>
      <c r="P935">
        <v>0</v>
      </c>
      <c r="Q935">
        <v>12982134</v>
      </c>
      <c r="R935">
        <v>12920924</v>
      </c>
      <c r="S935">
        <v>8749409</v>
      </c>
      <c r="T935">
        <v>8780341</v>
      </c>
      <c r="U935">
        <v>0</v>
      </c>
      <c r="V935">
        <v>0</v>
      </c>
      <c r="W935">
        <v>0</v>
      </c>
      <c r="X935">
        <v>0</v>
      </c>
      <c r="Y935">
        <v>10718043</v>
      </c>
      <c r="Z935">
        <v>10699305</v>
      </c>
      <c r="AA935">
        <f t="shared" si="29"/>
        <v>-61210</v>
      </c>
      <c r="AB935">
        <f t="shared" si="28"/>
        <v>-0.4714941318584448</v>
      </c>
    </row>
    <row r="936" spans="1:28">
      <c r="A936" t="s">
        <v>39</v>
      </c>
      <c r="B936" s="2">
        <v>45717</v>
      </c>
      <c r="C936" s="2">
        <v>45689</v>
      </c>
      <c r="D936" s="2">
        <v>45784</v>
      </c>
      <c r="E936">
        <v>22489947</v>
      </c>
      <c r="F936">
        <v>22451655</v>
      </c>
      <c r="G936">
        <v>-38292</v>
      </c>
      <c r="H936">
        <v>88.17</v>
      </c>
      <c r="I936">
        <v>170000</v>
      </c>
      <c r="J936" t="s">
        <v>29</v>
      </c>
      <c r="K936">
        <v>20</v>
      </c>
      <c r="L936">
        <v>20.170000000000002</v>
      </c>
      <c r="M936">
        <v>5461847</v>
      </c>
      <c r="N936">
        <v>5435465</v>
      </c>
      <c r="O936">
        <v>0</v>
      </c>
      <c r="P936">
        <v>0</v>
      </c>
      <c r="Q936">
        <v>4889056</v>
      </c>
      <c r="R936">
        <v>4851202</v>
      </c>
      <c r="S936">
        <v>1453411</v>
      </c>
      <c r="T936">
        <v>1454781</v>
      </c>
      <c r="U936">
        <v>0</v>
      </c>
      <c r="V936">
        <v>0</v>
      </c>
      <c r="W936">
        <v>0</v>
      </c>
      <c r="X936">
        <v>0</v>
      </c>
      <c r="Y936">
        <v>10685633</v>
      </c>
      <c r="Z936">
        <v>10710207</v>
      </c>
      <c r="AA936">
        <f t="shared" si="29"/>
        <v>-37854</v>
      </c>
      <c r="AB936">
        <f t="shared" si="28"/>
        <v>-0.77425989802530382</v>
      </c>
    </row>
    <row r="937" spans="1:28">
      <c r="A937" t="s">
        <v>40</v>
      </c>
      <c r="B937" s="2">
        <v>45717</v>
      </c>
      <c r="C937" s="2">
        <v>45689</v>
      </c>
      <c r="D937" s="2">
        <v>45784</v>
      </c>
      <c r="E937">
        <v>80442437</v>
      </c>
      <c r="F937">
        <v>80599984</v>
      </c>
      <c r="G937">
        <v>157547</v>
      </c>
      <c r="H937">
        <v>86.08</v>
      </c>
      <c r="I937">
        <v>1250000</v>
      </c>
      <c r="J937" t="s">
        <v>29</v>
      </c>
      <c r="K937">
        <v>87.16</v>
      </c>
      <c r="L937">
        <v>88.41</v>
      </c>
      <c r="M937">
        <v>16591031</v>
      </c>
      <c r="N937">
        <v>16642059</v>
      </c>
      <c r="O937">
        <v>0</v>
      </c>
      <c r="P937">
        <v>0</v>
      </c>
      <c r="Q937">
        <v>13723887</v>
      </c>
      <c r="R937">
        <v>13599147</v>
      </c>
      <c r="S937">
        <v>5150121</v>
      </c>
      <c r="T937">
        <v>5164051</v>
      </c>
      <c r="U937">
        <v>0</v>
      </c>
      <c r="V937">
        <v>0</v>
      </c>
      <c r="W937">
        <v>0</v>
      </c>
      <c r="X937">
        <v>0</v>
      </c>
      <c r="Y937">
        <v>44977398</v>
      </c>
      <c r="Z937">
        <v>45194727</v>
      </c>
      <c r="AA937">
        <f t="shared" si="29"/>
        <v>-124740</v>
      </c>
      <c r="AB937">
        <f t="shared" si="28"/>
        <v>-0.90892616647164171</v>
      </c>
    </row>
    <row r="938" spans="1:28">
      <c r="A938" t="s">
        <v>41</v>
      </c>
      <c r="B938" s="2">
        <v>45717</v>
      </c>
      <c r="C938" s="2">
        <v>45689</v>
      </c>
      <c r="D938" s="2">
        <v>45784</v>
      </c>
      <c r="E938">
        <v>90672902</v>
      </c>
      <c r="F938">
        <v>90760169</v>
      </c>
      <c r="G938">
        <v>87267</v>
      </c>
      <c r="H938">
        <v>93.22</v>
      </c>
      <c r="I938">
        <v>930000</v>
      </c>
      <c r="J938" t="s">
        <v>29</v>
      </c>
      <c r="K938">
        <v>89.94</v>
      </c>
      <c r="L938">
        <v>90.87</v>
      </c>
      <c r="M938">
        <v>22587314</v>
      </c>
      <c r="N938">
        <v>22583417</v>
      </c>
      <c r="O938">
        <v>0</v>
      </c>
      <c r="P938">
        <v>0</v>
      </c>
      <c r="Q938">
        <v>20415258</v>
      </c>
      <c r="R938">
        <v>20309525</v>
      </c>
      <c r="S938">
        <v>5299872</v>
      </c>
      <c r="T938">
        <v>5301279</v>
      </c>
      <c r="U938">
        <v>0</v>
      </c>
      <c r="V938">
        <v>0</v>
      </c>
      <c r="W938">
        <v>0</v>
      </c>
      <c r="X938">
        <v>0</v>
      </c>
      <c r="Y938">
        <v>42370458</v>
      </c>
      <c r="Z938">
        <v>42565948</v>
      </c>
      <c r="AA938">
        <f t="shared" si="29"/>
        <v>-105733</v>
      </c>
      <c r="AB938">
        <f t="shared" si="28"/>
        <v>-0.51791165215742063</v>
      </c>
    </row>
    <row r="939" spans="1:28">
      <c r="A939" t="s">
        <v>42</v>
      </c>
      <c r="B939" s="2">
        <v>45717</v>
      </c>
      <c r="C939" s="2">
        <v>45689</v>
      </c>
      <c r="D939" s="2">
        <v>45784</v>
      </c>
      <c r="E939">
        <v>34086333</v>
      </c>
      <c r="F939">
        <v>34216532</v>
      </c>
      <c r="G939">
        <v>130199</v>
      </c>
      <c r="H939">
        <v>71.5</v>
      </c>
      <c r="I939">
        <v>250000</v>
      </c>
      <c r="J939" t="s">
        <v>29</v>
      </c>
      <c r="K939">
        <v>35.979999999999997</v>
      </c>
      <c r="L939">
        <v>36.229999999999997</v>
      </c>
      <c r="M939">
        <v>10129508</v>
      </c>
      <c r="N939">
        <v>10124250</v>
      </c>
      <c r="O939">
        <v>66</v>
      </c>
      <c r="P939">
        <v>56</v>
      </c>
      <c r="Q939">
        <v>10700586</v>
      </c>
      <c r="R939">
        <v>10711200</v>
      </c>
      <c r="S939">
        <v>0</v>
      </c>
      <c r="T939">
        <v>0</v>
      </c>
      <c r="U939">
        <v>0</v>
      </c>
      <c r="V939">
        <v>0</v>
      </c>
      <c r="W939">
        <v>210840</v>
      </c>
      <c r="X939">
        <v>208915</v>
      </c>
      <c r="Y939">
        <v>13045333</v>
      </c>
      <c r="Z939">
        <v>13172111</v>
      </c>
      <c r="AA939">
        <f t="shared" si="29"/>
        <v>10614</v>
      </c>
      <c r="AB939">
        <f t="shared" si="28"/>
        <v>9.9190829362055505E-2</v>
      </c>
    </row>
    <row r="940" spans="1:28">
      <c r="A940" t="s">
        <v>43</v>
      </c>
      <c r="B940" s="2">
        <v>45717</v>
      </c>
      <c r="C940" s="2">
        <v>45689</v>
      </c>
      <c r="D940" s="2">
        <v>45784</v>
      </c>
      <c r="E940">
        <v>12521832</v>
      </c>
      <c r="F940">
        <v>12652293</v>
      </c>
      <c r="G940">
        <v>130461</v>
      </c>
      <c r="H940">
        <v>96.83</v>
      </c>
      <c r="I940">
        <v>30000</v>
      </c>
      <c r="J940" t="s">
        <v>29</v>
      </c>
      <c r="K940">
        <v>2.52</v>
      </c>
      <c r="L940">
        <v>2.5499999999999998</v>
      </c>
      <c r="M940">
        <v>6297679</v>
      </c>
      <c r="N940">
        <v>6419608</v>
      </c>
      <c r="O940">
        <v>0</v>
      </c>
      <c r="P940">
        <v>0</v>
      </c>
      <c r="Q940">
        <v>643723</v>
      </c>
      <c r="R940">
        <v>637041</v>
      </c>
      <c r="S940">
        <v>1287306</v>
      </c>
      <c r="T940">
        <v>1290499</v>
      </c>
      <c r="U940">
        <v>0</v>
      </c>
      <c r="V940">
        <v>0</v>
      </c>
      <c r="W940">
        <v>0</v>
      </c>
      <c r="X940">
        <v>0</v>
      </c>
      <c r="Y940">
        <v>4293124</v>
      </c>
      <c r="Z940">
        <v>4305145</v>
      </c>
      <c r="AA940">
        <f t="shared" si="29"/>
        <v>-6682</v>
      </c>
      <c r="AB940">
        <f t="shared" si="28"/>
        <v>-1.0380241190698483</v>
      </c>
    </row>
    <row r="941" spans="1:28">
      <c r="A941" t="s">
        <v>44</v>
      </c>
      <c r="B941" s="2">
        <v>45717</v>
      </c>
      <c r="C941" s="2">
        <v>45689</v>
      </c>
      <c r="D941" s="2">
        <v>45784</v>
      </c>
      <c r="E941">
        <v>34599884</v>
      </c>
      <c r="F941">
        <v>34924108</v>
      </c>
      <c r="G941">
        <v>324224</v>
      </c>
      <c r="H941">
        <v>91.81</v>
      </c>
      <c r="I941">
        <v>220000</v>
      </c>
      <c r="J941" t="s">
        <v>29</v>
      </c>
      <c r="K941">
        <v>19.260000000000002</v>
      </c>
      <c r="L941">
        <v>19.48</v>
      </c>
      <c r="M941">
        <v>11810695</v>
      </c>
      <c r="N941">
        <v>11996212</v>
      </c>
      <c r="O941">
        <v>0</v>
      </c>
      <c r="P941">
        <v>0</v>
      </c>
      <c r="Q941">
        <v>1394725</v>
      </c>
      <c r="R941">
        <v>1397972</v>
      </c>
      <c r="S941">
        <v>5573420</v>
      </c>
      <c r="T941">
        <v>5573279</v>
      </c>
      <c r="U941">
        <v>0</v>
      </c>
      <c r="V941">
        <v>0</v>
      </c>
      <c r="W941">
        <v>0</v>
      </c>
      <c r="X941">
        <v>0</v>
      </c>
      <c r="Y941">
        <v>15821044</v>
      </c>
      <c r="Z941">
        <v>15956645</v>
      </c>
      <c r="AA941">
        <f t="shared" si="29"/>
        <v>3247</v>
      </c>
      <c r="AB941">
        <f t="shared" si="28"/>
        <v>0.23280575023750202</v>
      </c>
    </row>
    <row r="942" spans="1:28">
      <c r="A942" t="s">
        <v>45</v>
      </c>
      <c r="B942" s="2">
        <v>45717</v>
      </c>
      <c r="C942" s="2">
        <v>45689</v>
      </c>
      <c r="D942" s="2">
        <v>45784</v>
      </c>
      <c r="E942">
        <v>33947876</v>
      </c>
      <c r="F942">
        <v>34040768</v>
      </c>
      <c r="G942">
        <v>92892</v>
      </c>
      <c r="H942">
        <v>90.98</v>
      </c>
      <c r="I942">
        <v>360000</v>
      </c>
      <c r="J942" t="s">
        <v>29</v>
      </c>
      <c r="K942">
        <v>36.01</v>
      </c>
      <c r="L942">
        <v>36.369999999999997</v>
      </c>
      <c r="M942">
        <v>12500330</v>
      </c>
      <c r="N942">
        <v>12564173</v>
      </c>
      <c r="O942">
        <v>6</v>
      </c>
      <c r="P942">
        <v>6</v>
      </c>
      <c r="Q942">
        <v>6058132</v>
      </c>
      <c r="R942">
        <v>6037566</v>
      </c>
      <c r="S942">
        <v>4060849</v>
      </c>
      <c r="T942">
        <v>4092007</v>
      </c>
      <c r="U942">
        <v>0</v>
      </c>
      <c r="V942">
        <v>0</v>
      </c>
      <c r="W942">
        <v>0</v>
      </c>
      <c r="X942">
        <v>0</v>
      </c>
      <c r="Y942">
        <v>11328559</v>
      </c>
      <c r="Z942">
        <v>11347016</v>
      </c>
      <c r="AA942">
        <f t="shared" si="29"/>
        <v>-20566</v>
      </c>
      <c r="AB942">
        <f t="shared" si="28"/>
        <v>-0.33947758153833557</v>
      </c>
    </row>
    <row r="943" spans="1:28">
      <c r="A943" t="s">
        <v>46</v>
      </c>
      <c r="B943" s="2">
        <v>45717</v>
      </c>
      <c r="C943" s="2">
        <v>45689</v>
      </c>
      <c r="D943" s="2">
        <v>45784</v>
      </c>
      <c r="E943">
        <v>64488718</v>
      </c>
      <c r="F943">
        <v>64621587</v>
      </c>
      <c r="G943">
        <v>132869</v>
      </c>
      <c r="H943">
        <v>91.2</v>
      </c>
      <c r="I943">
        <v>710000</v>
      </c>
      <c r="J943" t="s">
        <v>29</v>
      </c>
      <c r="K943">
        <v>73.849999999999994</v>
      </c>
      <c r="L943">
        <v>74.56</v>
      </c>
      <c r="M943">
        <v>23346647</v>
      </c>
      <c r="N943">
        <v>23434836</v>
      </c>
      <c r="O943">
        <v>80</v>
      </c>
      <c r="P943">
        <v>81</v>
      </c>
      <c r="Q943">
        <v>9218487</v>
      </c>
      <c r="R943">
        <v>9173311</v>
      </c>
      <c r="S943">
        <v>5622038</v>
      </c>
      <c r="T943">
        <v>5634425</v>
      </c>
      <c r="U943">
        <v>0</v>
      </c>
      <c r="V943">
        <v>0</v>
      </c>
      <c r="W943">
        <v>0</v>
      </c>
      <c r="X943">
        <v>0</v>
      </c>
      <c r="Y943">
        <v>26301466</v>
      </c>
      <c r="Z943">
        <v>26378934</v>
      </c>
      <c r="AA943">
        <f t="shared" si="29"/>
        <v>-45176</v>
      </c>
      <c r="AB943">
        <f t="shared" si="28"/>
        <v>-0.49005872655675492</v>
      </c>
    </row>
    <row r="944" spans="1:28">
      <c r="A944" t="s">
        <v>47</v>
      </c>
      <c r="B944" s="2">
        <v>45717</v>
      </c>
      <c r="C944" s="2">
        <v>45689</v>
      </c>
      <c r="D944" s="2">
        <v>45784</v>
      </c>
      <c r="E944">
        <v>77302501</v>
      </c>
      <c r="F944">
        <v>77279126</v>
      </c>
      <c r="G944">
        <v>-23375</v>
      </c>
      <c r="H944">
        <v>80.89</v>
      </c>
      <c r="I944">
        <v>660000</v>
      </c>
      <c r="J944" t="s">
        <v>29</v>
      </c>
      <c r="K944">
        <v>68.67</v>
      </c>
      <c r="L944">
        <v>69.33</v>
      </c>
      <c r="M944">
        <v>30067680</v>
      </c>
      <c r="N944">
        <v>30155175</v>
      </c>
      <c r="O944">
        <v>0</v>
      </c>
      <c r="P944">
        <v>0</v>
      </c>
      <c r="Q944">
        <v>14807824</v>
      </c>
      <c r="R944">
        <v>14731787</v>
      </c>
      <c r="S944">
        <v>7803561</v>
      </c>
      <c r="T944">
        <v>7783902</v>
      </c>
      <c r="U944">
        <v>0</v>
      </c>
      <c r="V944">
        <v>0</v>
      </c>
      <c r="W944">
        <v>0</v>
      </c>
      <c r="X944">
        <v>0</v>
      </c>
      <c r="Y944">
        <v>24623436</v>
      </c>
      <c r="Z944">
        <v>24608262</v>
      </c>
      <c r="AA944">
        <f t="shared" si="29"/>
        <v>-76037</v>
      </c>
      <c r="AB944">
        <f t="shared" si="28"/>
        <v>-0.5134920566316834</v>
      </c>
    </row>
    <row r="945" spans="1:28">
      <c r="A945" t="s">
        <v>48</v>
      </c>
      <c r="B945" s="2">
        <v>45717</v>
      </c>
      <c r="C945" s="2">
        <v>45689</v>
      </c>
      <c r="D945" s="2">
        <v>45784</v>
      </c>
      <c r="E945">
        <v>102060739</v>
      </c>
      <c r="F945">
        <v>102392638</v>
      </c>
      <c r="G945">
        <v>331899</v>
      </c>
      <c r="H945">
        <v>88.75</v>
      </c>
      <c r="I945">
        <v>1870000</v>
      </c>
      <c r="J945" t="s">
        <v>29</v>
      </c>
      <c r="K945">
        <v>110.02</v>
      </c>
      <c r="L945">
        <v>111.89</v>
      </c>
      <c r="M945">
        <v>36539391</v>
      </c>
      <c r="N945">
        <v>36484630</v>
      </c>
      <c r="O945">
        <v>0</v>
      </c>
      <c r="P945">
        <v>0</v>
      </c>
      <c r="Q945">
        <v>16061155</v>
      </c>
      <c r="R945">
        <v>16128148</v>
      </c>
      <c r="S945">
        <v>8081460</v>
      </c>
      <c r="T945">
        <v>8081876</v>
      </c>
      <c r="U945">
        <v>0</v>
      </c>
      <c r="V945">
        <v>0</v>
      </c>
      <c r="W945">
        <v>0</v>
      </c>
      <c r="X945">
        <v>0</v>
      </c>
      <c r="Y945">
        <v>41378733</v>
      </c>
      <c r="Z945">
        <v>41697984</v>
      </c>
      <c r="AA945">
        <f t="shared" si="29"/>
        <v>66993</v>
      </c>
      <c r="AB945">
        <f t="shared" si="28"/>
        <v>0.41711196984276666</v>
      </c>
    </row>
    <row r="946" spans="1:28">
      <c r="A946" t="s">
        <v>49</v>
      </c>
      <c r="B946" s="2">
        <v>45717</v>
      </c>
      <c r="C946" s="2">
        <v>45689</v>
      </c>
      <c r="D946" s="2">
        <v>45784</v>
      </c>
      <c r="E946">
        <v>62561667</v>
      </c>
      <c r="F946">
        <v>62641261</v>
      </c>
      <c r="G946">
        <v>79594</v>
      </c>
      <c r="H946">
        <v>88.28</v>
      </c>
      <c r="I946">
        <v>1350000</v>
      </c>
      <c r="J946" t="s">
        <v>29</v>
      </c>
      <c r="K946">
        <v>82.68</v>
      </c>
      <c r="L946">
        <v>84.03</v>
      </c>
      <c r="M946">
        <v>18893870</v>
      </c>
      <c r="N946">
        <v>18885824</v>
      </c>
      <c r="O946">
        <v>0</v>
      </c>
      <c r="P946">
        <v>0</v>
      </c>
      <c r="Q946">
        <v>14411142</v>
      </c>
      <c r="R946">
        <v>14371653</v>
      </c>
      <c r="S946">
        <v>4995971</v>
      </c>
      <c r="T946">
        <v>4984322</v>
      </c>
      <c r="U946">
        <v>0</v>
      </c>
      <c r="V946">
        <v>0</v>
      </c>
      <c r="W946">
        <v>0</v>
      </c>
      <c r="X946">
        <v>0</v>
      </c>
      <c r="Y946">
        <v>24260684</v>
      </c>
      <c r="Z946">
        <v>24399462</v>
      </c>
      <c r="AA946">
        <f t="shared" si="29"/>
        <v>-39489</v>
      </c>
      <c r="AB946">
        <f t="shared" si="28"/>
        <v>-0.27401714590002652</v>
      </c>
    </row>
    <row r="947" spans="1:28">
      <c r="A947" t="s">
        <v>50</v>
      </c>
      <c r="B947" s="2">
        <v>45717</v>
      </c>
      <c r="C947" s="2">
        <v>45689</v>
      </c>
      <c r="D947" s="2">
        <v>45784</v>
      </c>
      <c r="E947">
        <v>57033755</v>
      </c>
      <c r="F947">
        <v>57117982</v>
      </c>
      <c r="G947">
        <v>84227</v>
      </c>
      <c r="H947">
        <v>89.67</v>
      </c>
      <c r="I947">
        <v>1090000</v>
      </c>
      <c r="J947" t="s">
        <v>29</v>
      </c>
      <c r="K947">
        <v>65.790000000000006</v>
      </c>
      <c r="L947">
        <v>66.88</v>
      </c>
      <c r="M947">
        <v>18414246</v>
      </c>
      <c r="N947">
        <v>18464267</v>
      </c>
      <c r="O947">
        <v>9</v>
      </c>
      <c r="P947">
        <v>9</v>
      </c>
      <c r="Q947">
        <v>11722068</v>
      </c>
      <c r="R947">
        <v>11620668</v>
      </c>
      <c r="S947">
        <v>2669657</v>
      </c>
      <c r="T947">
        <v>2637783</v>
      </c>
      <c r="U947">
        <v>0</v>
      </c>
      <c r="V947">
        <v>0</v>
      </c>
      <c r="W947">
        <v>0</v>
      </c>
      <c r="X947">
        <v>0</v>
      </c>
      <c r="Y947">
        <v>24227775</v>
      </c>
      <c r="Z947">
        <v>24395255</v>
      </c>
      <c r="AA947">
        <f t="shared" si="29"/>
        <v>-101400</v>
      </c>
      <c r="AB947">
        <f t="shared" si="28"/>
        <v>-0.86503507742831731</v>
      </c>
    </row>
    <row r="948" spans="1:28">
      <c r="A948" t="s">
        <v>28</v>
      </c>
      <c r="B948" s="2">
        <v>45748</v>
      </c>
      <c r="C948" s="2">
        <v>45717</v>
      </c>
      <c r="D948" s="2">
        <v>45806</v>
      </c>
      <c r="E948">
        <v>82336009</v>
      </c>
      <c r="F948">
        <v>82466576</v>
      </c>
      <c r="G948">
        <v>130567</v>
      </c>
      <c r="H948">
        <v>91.51</v>
      </c>
      <c r="I948">
        <v>640000</v>
      </c>
      <c r="J948" t="s">
        <v>29</v>
      </c>
      <c r="K948">
        <v>72.69</v>
      </c>
      <c r="L948">
        <v>73.33</v>
      </c>
      <c r="M948">
        <v>33923195</v>
      </c>
      <c r="N948">
        <v>33965795</v>
      </c>
      <c r="O948">
        <v>0</v>
      </c>
      <c r="P948">
        <v>0</v>
      </c>
      <c r="Q948">
        <v>9699287</v>
      </c>
      <c r="R948">
        <v>9690229</v>
      </c>
      <c r="S948">
        <v>6937453</v>
      </c>
      <c r="T948">
        <v>6939168</v>
      </c>
      <c r="U948">
        <v>0</v>
      </c>
      <c r="V948">
        <v>0</v>
      </c>
      <c r="W948">
        <v>0</v>
      </c>
      <c r="X948">
        <v>0</v>
      </c>
      <c r="Y948">
        <v>31776074</v>
      </c>
      <c r="Z948">
        <v>31871384</v>
      </c>
      <c r="AA948">
        <f t="shared" si="29"/>
        <v>-9058</v>
      </c>
      <c r="AB948">
        <f t="shared" si="28"/>
        <v>-9.3388307820976943E-2</v>
      </c>
    </row>
    <row r="949" spans="1:28">
      <c r="A949" t="s">
        <v>30</v>
      </c>
      <c r="B949" s="2">
        <v>45748</v>
      </c>
      <c r="C949" s="2">
        <v>45717</v>
      </c>
      <c r="D949" s="2">
        <v>45806</v>
      </c>
      <c r="E949">
        <v>26358811</v>
      </c>
      <c r="F949">
        <v>26458756</v>
      </c>
      <c r="G949">
        <v>99945</v>
      </c>
      <c r="H949">
        <v>92.51</v>
      </c>
      <c r="I949">
        <v>100000</v>
      </c>
      <c r="J949" t="s">
        <v>29</v>
      </c>
      <c r="K949">
        <v>8.1999999999999993</v>
      </c>
      <c r="L949">
        <v>8.3000000000000007</v>
      </c>
      <c r="M949">
        <v>12241287</v>
      </c>
      <c r="N949">
        <v>12314102</v>
      </c>
      <c r="O949">
        <v>0</v>
      </c>
      <c r="P949">
        <v>0</v>
      </c>
      <c r="Q949">
        <v>1420096</v>
      </c>
      <c r="R949">
        <v>1422240</v>
      </c>
      <c r="S949">
        <v>2970848</v>
      </c>
      <c r="T949">
        <v>2969614</v>
      </c>
      <c r="U949">
        <v>0</v>
      </c>
      <c r="V949">
        <v>0</v>
      </c>
      <c r="W949">
        <v>0</v>
      </c>
      <c r="X949">
        <v>0</v>
      </c>
      <c r="Y949">
        <v>9726580</v>
      </c>
      <c r="Z949">
        <v>9752800</v>
      </c>
      <c r="AA949">
        <f t="shared" si="29"/>
        <v>2144</v>
      </c>
      <c r="AB949">
        <f t="shared" si="28"/>
        <v>0.15097570868448329</v>
      </c>
    </row>
    <row r="950" spans="1:28">
      <c r="A950" t="s">
        <v>31</v>
      </c>
      <c r="B950" s="2">
        <v>45748</v>
      </c>
      <c r="C950" s="2">
        <v>45717</v>
      </c>
      <c r="D950" s="2">
        <v>45806</v>
      </c>
      <c r="E950">
        <v>96326359</v>
      </c>
      <c r="F950">
        <v>96607535</v>
      </c>
      <c r="G950">
        <v>281176</v>
      </c>
      <c r="H950">
        <v>85.99</v>
      </c>
      <c r="I950">
        <v>1040000</v>
      </c>
      <c r="J950" t="s">
        <v>29</v>
      </c>
      <c r="K950">
        <v>64.930000000000007</v>
      </c>
      <c r="L950">
        <v>65.97</v>
      </c>
      <c r="M950">
        <v>41096191</v>
      </c>
      <c r="N950">
        <v>40967773</v>
      </c>
      <c r="O950">
        <v>0</v>
      </c>
      <c r="P950">
        <v>0</v>
      </c>
      <c r="Q950">
        <v>7727548</v>
      </c>
      <c r="R950">
        <v>7781220</v>
      </c>
      <c r="S950">
        <v>5771775</v>
      </c>
      <c r="T950">
        <v>5752352</v>
      </c>
      <c r="U950">
        <v>0</v>
      </c>
      <c r="V950">
        <v>0</v>
      </c>
      <c r="W950">
        <v>0</v>
      </c>
      <c r="X950">
        <v>0</v>
      </c>
      <c r="Y950">
        <v>41730845</v>
      </c>
      <c r="Z950">
        <v>42106190</v>
      </c>
      <c r="AA950">
        <f t="shared" si="29"/>
        <v>53672</v>
      </c>
      <c r="AB950">
        <f t="shared" si="28"/>
        <v>0.69455408106167704</v>
      </c>
    </row>
    <row r="951" spans="1:28">
      <c r="A951" t="s">
        <v>32</v>
      </c>
      <c r="B951" s="2">
        <v>45748</v>
      </c>
      <c r="C951" s="2">
        <v>45717</v>
      </c>
      <c r="D951" s="2">
        <v>45806</v>
      </c>
      <c r="E951">
        <v>56119837</v>
      </c>
      <c r="F951">
        <v>56355331</v>
      </c>
      <c r="G951">
        <v>235494</v>
      </c>
      <c r="H951">
        <v>52.82</v>
      </c>
      <c r="I951">
        <v>620000</v>
      </c>
      <c r="J951" t="s">
        <v>29</v>
      </c>
      <c r="K951">
        <v>53.25</v>
      </c>
      <c r="L951">
        <v>53.87</v>
      </c>
      <c r="M951">
        <v>18771602</v>
      </c>
      <c r="N951">
        <v>18877637</v>
      </c>
      <c r="O951">
        <v>1</v>
      </c>
      <c r="P951">
        <v>1</v>
      </c>
      <c r="Q951">
        <v>16756217</v>
      </c>
      <c r="R951">
        <v>16796269</v>
      </c>
      <c r="S951">
        <v>0</v>
      </c>
      <c r="T951">
        <v>0</v>
      </c>
      <c r="U951">
        <v>0</v>
      </c>
      <c r="V951">
        <v>0</v>
      </c>
      <c r="W951">
        <v>789314</v>
      </c>
      <c r="X951">
        <v>788984</v>
      </c>
      <c r="Y951">
        <v>19802703</v>
      </c>
      <c r="Z951">
        <v>19892440</v>
      </c>
      <c r="AA951">
        <f t="shared" si="29"/>
        <v>40052</v>
      </c>
      <c r="AB951">
        <f t="shared" si="28"/>
        <v>0.23902769939062019</v>
      </c>
    </row>
    <row r="952" spans="1:28">
      <c r="A952" t="s">
        <v>33</v>
      </c>
      <c r="B952" s="2">
        <v>45748</v>
      </c>
      <c r="C952" s="2">
        <v>45717</v>
      </c>
      <c r="D952" s="2">
        <v>45806</v>
      </c>
      <c r="E952">
        <v>65373269</v>
      </c>
      <c r="F952">
        <v>65796435</v>
      </c>
      <c r="G952">
        <v>423166</v>
      </c>
      <c r="H952">
        <v>90.23</v>
      </c>
      <c r="I952">
        <v>920000</v>
      </c>
      <c r="J952" t="s">
        <v>29</v>
      </c>
      <c r="K952">
        <v>76.11</v>
      </c>
      <c r="L952">
        <v>77.03</v>
      </c>
      <c r="M952">
        <v>12359251</v>
      </c>
      <c r="N952">
        <v>12401101</v>
      </c>
      <c r="O952">
        <v>1</v>
      </c>
      <c r="P952">
        <v>1</v>
      </c>
      <c r="Q952">
        <v>19629831</v>
      </c>
      <c r="R952">
        <v>19680582</v>
      </c>
      <c r="S952">
        <v>3266954</v>
      </c>
      <c r="T952">
        <v>3260886</v>
      </c>
      <c r="U952">
        <v>0</v>
      </c>
      <c r="V952">
        <v>0</v>
      </c>
      <c r="W952">
        <v>0</v>
      </c>
      <c r="X952">
        <v>0</v>
      </c>
      <c r="Y952">
        <v>30117232</v>
      </c>
      <c r="Z952">
        <v>30453865</v>
      </c>
      <c r="AA952">
        <f t="shared" si="29"/>
        <v>50751</v>
      </c>
      <c r="AB952">
        <f t="shared" si="28"/>
        <v>0.25854017795670275</v>
      </c>
    </row>
    <row r="953" spans="1:28">
      <c r="A953" t="s">
        <v>34</v>
      </c>
      <c r="B953" s="2">
        <v>45748</v>
      </c>
      <c r="C953" s="2">
        <v>45717</v>
      </c>
      <c r="D953" s="2">
        <v>45806</v>
      </c>
      <c r="E953">
        <v>26126693</v>
      </c>
      <c r="F953">
        <v>26127873</v>
      </c>
      <c r="G953">
        <v>1180</v>
      </c>
      <c r="H953">
        <v>92.48</v>
      </c>
      <c r="I953">
        <v>390000</v>
      </c>
      <c r="J953" t="s">
        <v>29</v>
      </c>
      <c r="K953">
        <v>35.19</v>
      </c>
      <c r="L953">
        <v>35.58</v>
      </c>
      <c r="M953">
        <v>7245664</v>
      </c>
      <c r="N953">
        <v>7256973</v>
      </c>
      <c r="O953">
        <v>0</v>
      </c>
      <c r="P953">
        <v>0</v>
      </c>
      <c r="Q953">
        <v>6365079</v>
      </c>
      <c r="R953">
        <v>6337736</v>
      </c>
      <c r="S953">
        <v>4212938</v>
      </c>
      <c r="T953">
        <v>4199581</v>
      </c>
      <c r="U953">
        <v>0</v>
      </c>
      <c r="V953">
        <v>0</v>
      </c>
      <c r="W953">
        <v>0</v>
      </c>
      <c r="X953">
        <v>0</v>
      </c>
      <c r="Y953">
        <v>8303012</v>
      </c>
      <c r="Z953">
        <v>8333583</v>
      </c>
      <c r="AA953">
        <f t="shared" si="29"/>
        <v>-27343</v>
      </c>
      <c r="AB953">
        <f t="shared" si="28"/>
        <v>-0.42957832887855751</v>
      </c>
    </row>
    <row r="954" spans="1:28">
      <c r="A954" t="s">
        <v>35</v>
      </c>
      <c r="B954" s="2">
        <v>45748</v>
      </c>
      <c r="C954" s="2">
        <v>45717</v>
      </c>
      <c r="D954" s="2">
        <v>45806</v>
      </c>
      <c r="E954">
        <v>8854330</v>
      </c>
      <c r="F954">
        <v>8873770</v>
      </c>
      <c r="G954">
        <v>19440</v>
      </c>
      <c r="H954">
        <v>107.47</v>
      </c>
      <c r="I954">
        <v>60000</v>
      </c>
      <c r="J954" t="s">
        <v>29</v>
      </c>
      <c r="K954">
        <v>4.68</v>
      </c>
      <c r="L954">
        <v>4.74</v>
      </c>
      <c r="M954">
        <v>3575615</v>
      </c>
      <c r="N954">
        <v>3575366</v>
      </c>
      <c r="O954">
        <v>0</v>
      </c>
      <c r="P954">
        <v>0</v>
      </c>
      <c r="Q954">
        <v>379892</v>
      </c>
      <c r="R954">
        <v>381498</v>
      </c>
      <c r="S954">
        <v>1682282</v>
      </c>
      <c r="T954">
        <v>1686251</v>
      </c>
      <c r="U954">
        <v>0</v>
      </c>
      <c r="V954">
        <v>0</v>
      </c>
      <c r="W954">
        <v>0</v>
      </c>
      <c r="X954">
        <v>0</v>
      </c>
      <c r="Y954">
        <v>3216541</v>
      </c>
      <c r="Z954">
        <v>3230655</v>
      </c>
      <c r="AA954">
        <f t="shared" si="29"/>
        <v>1606</v>
      </c>
      <c r="AB954">
        <f t="shared" si="28"/>
        <v>0.42275172943889316</v>
      </c>
    </row>
    <row r="955" spans="1:28">
      <c r="A955" t="s">
        <v>36</v>
      </c>
      <c r="B955" s="2">
        <v>45748</v>
      </c>
      <c r="C955" s="2">
        <v>45717</v>
      </c>
      <c r="D955" s="2">
        <v>45806</v>
      </c>
      <c r="E955">
        <v>12181151</v>
      </c>
      <c r="F955">
        <v>12312761</v>
      </c>
      <c r="G955">
        <v>131610</v>
      </c>
      <c r="H955">
        <v>84.68</v>
      </c>
      <c r="I955">
        <v>70000</v>
      </c>
      <c r="J955" t="s">
        <v>29</v>
      </c>
      <c r="K955">
        <v>3.23</v>
      </c>
      <c r="L955">
        <v>3.3</v>
      </c>
      <c r="M955">
        <v>6179009</v>
      </c>
      <c r="N955">
        <v>6259328</v>
      </c>
      <c r="O955">
        <v>0</v>
      </c>
      <c r="P955">
        <v>0</v>
      </c>
      <c r="Q955">
        <v>262607</v>
      </c>
      <c r="R955">
        <v>266116</v>
      </c>
      <c r="S955">
        <v>866466</v>
      </c>
      <c r="T955">
        <v>865999</v>
      </c>
      <c r="U955">
        <v>0</v>
      </c>
      <c r="V955">
        <v>0</v>
      </c>
      <c r="W955">
        <v>0</v>
      </c>
      <c r="X955">
        <v>0</v>
      </c>
      <c r="Y955">
        <v>4873069</v>
      </c>
      <c r="Z955">
        <v>4921318</v>
      </c>
      <c r="AA955">
        <f t="shared" si="29"/>
        <v>3509</v>
      </c>
      <c r="AB955">
        <f t="shared" si="28"/>
        <v>1.3362172371642798</v>
      </c>
    </row>
    <row r="956" spans="1:28">
      <c r="A956" t="s">
        <v>37</v>
      </c>
      <c r="B956" s="2">
        <v>45748</v>
      </c>
      <c r="C956" s="2">
        <v>45717</v>
      </c>
      <c r="D956" s="2">
        <v>45806</v>
      </c>
      <c r="E956">
        <v>68295089</v>
      </c>
      <c r="F956">
        <v>68553545</v>
      </c>
      <c r="G956">
        <v>258456</v>
      </c>
      <c r="H956">
        <v>72.92</v>
      </c>
      <c r="I956">
        <v>570000</v>
      </c>
      <c r="J956" t="s">
        <v>29</v>
      </c>
      <c r="K956">
        <v>73.53</v>
      </c>
      <c r="L956">
        <v>74.099999999999994</v>
      </c>
      <c r="M956">
        <v>32306447</v>
      </c>
      <c r="N956">
        <v>32337705</v>
      </c>
      <c r="O956">
        <v>412</v>
      </c>
      <c r="P956">
        <v>410</v>
      </c>
      <c r="Q956">
        <v>6628032</v>
      </c>
      <c r="R956">
        <v>6737615</v>
      </c>
      <c r="S956">
        <v>4573403</v>
      </c>
      <c r="T956">
        <v>4570631</v>
      </c>
      <c r="U956">
        <v>0</v>
      </c>
      <c r="V956">
        <v>0</v>
      </c>
      <c r="W956">
        <v>0</v>
      </c>
      <c r="X956">
        <v>0</v>
      </c>
      <c r="Y956">
        <v>24786795</v>
      </c>
      <c r="Z956">
        <v>24907184</v>
      </c>
      <c r="AA956">
        <f t="shared" si="29"/>
        <v>109583</v>
      </c>
      <c r="AB956">
        <f t="shared" si="28"/>
        <v>1.6533263569035272</v>
      </c>
    </row>
    <row r="957" spans="1:28">
      <c r="A957" t="s">
        <v>38</v>
      </c>
      <c r="B957" s="2">
        <v>45748</v>
      </c>
      <c r="C957" s="2">
        <v>45717</v>
      </c>
      <c r="D957" s="2">
        <v>45806</v>
      </c>
      <c r="E957">
        <v>41316430</v>
      </c>
      <c r="F957">
        <v>41427203</v>
      </c>
      <c r="G957">
        <v>110773</v>
      </c>
      <c r="H957">
        <v>93.68</v>
      </c>
      <c r="I957">
        <v>240000</v>
      </c>
      <c r="J957" t="s">
        <v>29</v>
      </c>
      <c r="K957">
        <v>26.34</v>
      </c>
      <c r="L957">
        <v>26.58</v>
      </c>
      <c r="M957">
        <v>8915860</v>
      </c>
      <c r="N957">
        <v>8979470</v>
      </c>
      <c r="O957">
        <v>0</v>
      </c>
      <c r="P957">
        <v>0</v>
      </c>
      <c r="Q957">
        <v>12920924</v>
      </c>
      <c r="R957">
        <v>12886334</v>
      </c>
      <c r="S957">
        <v>8780341</v>
      </c>
      <c r="T957">
        <v>8786312</v>
      </c>
      <c r="U957">
        <v>0</v>
      </c>
      <c r="V957">
        <v>0</v>
      </c>
      <c r="W957">
        <v>0</v>
      </c>
      <c r="X957">
        <v>0</v>
      </c>
      <c r="Y957">
        <v>10699305</v>
      </c>
      <c r="Z957">
        <v>10775087</v>
      </c>
      <c r="AA957">
        <f t="shared" si="29"/>
        <v>-34590</v>
      </c>
      <c r="AB957">
        <f t="shared" si="28"/>
        <v>-0.2677053127160256</v>
      </c>
    </row>
    <row r="958" spans="1:28">
      <c r="A958" t="s">
        <v>39</v>
      </c>
      <c r="B958" s="2">
        <v>45748</v>
      </c>
      <c r="C958" s="2">
        <v>45717</v>
      </c>
      <c r="D958" s="2">
        <v>45806</v>
      </c>
      <c r="E958">
        <v>22451655</v>
      </c>
      <c r="F958">
        <v>22435235</v>
      </c>
      <c r="G958">
        <v>-16420</v>
      </c>
      <c r="H958">
        <v>87.01</v>
      </c>
      <c r="I958">
        <v>190000</v>
      </c>
      <c r="J958" t="s">
        <v>29</v>
      </c>
      <c r="K958">
        <v>20.170000000000002</v>
      </c>
      <c r="L958">
        <v>20.36</v>
      </c>
      <c r="M958">
        <v>5435465</v>
      </c>
      <c r="N958">
        <v>5414409</v>
      </c>
      <c r="O958">
        <v>0</v>
      </c>
      <c r="P958">
        <v>0</v>
      </c>
      <c r="Q958">
        <v>4851202</v>
      </c>
      <c r="R958">
        <v>4797574</v>
      </c>
      <c r="S958">
        <v>1454781</v>
      </c>
      <c r="T958">
        <v>1455425</v>
      </c>
      <c r="U958">
        <v>0</v>
      </c>
      <c r="V958">
        <v>0</v>
      </c>
      <c r="W958">
        <v>0</v>
      </c>
      <c r="X958">
        <v>0</v>
      </c>
      <c r="Y958">
        <v>10710207</v>
      </c>
      <c r="Z958">
        <v>10767827</v>
      </c>
      <c r="AA958">
        <f t="shared" si="29"/>
        <v>-53628</v>
      </c>
      <c r="AB958">
        <f t="shared" si="28"/>
        <v>-1.1054579875255659</v>
      </c>
    </row>
    <row r="959" spans="1:28">
      <c r="A959" t="s">
        <v>40</v>
      </c>
      <c r="B959" s="2">
        <v>45748</v>
      </c>
      <c r="C959" s="2">
        <v>45717</v>
      </c>
      <c r="D959" s="2">
        <v>45806</v>
      </c>
      <c r="E959">
        <v>80599984</v>
      </c>
      <c r="F959">
        <v>80719409</v>
      </c>
      <c r="G959">
        <v>119425</v>
      </c>
      <c r="H959">
        <v>86.83</v>
      </c>
      <c r="I959">
        <v>1170000</v>
      </c>
      <c r="J959" t="s">
        <v>29</v>
      </c>
      <c r="K959">
        <v>88.41</v>
      </c>
      <c r="L959">
        <v>89.58</v>
      </c>
      <c r="M959">
        <v>16642059</v>
      </c>
      <c r="N959">
        <v>16632103</v>
      </c>
      <c r="O959">
        <v>0</v>
      </c>
      <c r="P959">
        <v>0</v>
      </c>
      <c r="Q959">
        <v>13599147</v>
      </c>
      <c r="R959">
        <v>13390619</v>
      </c>
      <c r="S959">
        <v>5164051</v>
      </c>
      <c r="T959">
        <v>5129940</v>
      </c>
      <c r="U959">
        <v>0</v>
      </c>
      <c r="V959">
        <v>0</v>
      </c>
      <c r="W959">
        <v>0</v>
      </c>
      <c r="X959">
        <v>0</v>
      </c>
      <c r="Y959">
        <v>45194727</v>
      </c>
      <c r="Z959">
        <v>45566747</v>
      </c>
      <c r="AA959">
        <f t="shared" si="29"/>
        <v>-208528</v>
      </c>
      <c r="AB959">
        <f t="shared" si="28"/>
        <v>-1.5333902927882168</v>
      </c>
    </row>
    <row r="960" spans="1:28">
      <c r="A960" t="s">
        <v>41</v>
      </c>
      <c r="B960" s="2">
        <v>45748</v>
      </c>
      <c r="C960" s="2">
        <v>45717</v>
      </c>
      <c r="D960" s="2">
        <v>45806</v>
      </c>
      <c r="E960">
        <v>90760169</v>
      </c>
      <c r="F960">
        <v>90811768</v>
      </c>
      <c r="G960">
        <v>51599</v>
      </c>
      <c r="H960">
        <v>93.42</v>
      </c>
      <c r="I960">
        <v>930000</v>
      </c>
      <c r="J960" t="s">
        <v>29</v>
      </c>
      <c r="K960">
        <v>90.87</v>
      </c>
      <c r="L960">
        <v>91.8</v>
      </c>
      <c r="M960">
        <v>22583417</v>
      </c>
      <c r="N960">
        <v>22616457</v>
      </c>
      <c r="O960">
        <v>0</v>
      </c>
      <c r="P960">
        <v>0</v>
      </c>
      <c r="Q960">
        <v>20309525</v>
      </c>
      <c r="R960">
        <v>20208191</v>
      </c>
      <c r="S960">
        <v>5301279</v>
      </c>
      <c r="T960">
        <v>5288032</v>
      </c>
      <c r="U960">
        <v>0</v>
      </c>
      <c r="V960">
        <v>0</v>
      </c>
      <c r="W960">
        <v>0</v>
      </c>
      <c r="X960">
        <v>0</v>
      </c>
      <c r="Y960">
        <v>42565948</v>
      </c>
      <c r="Z960">
        <v>42699088</v>
      </c>
      <c r="AA960">
        <f t="shared" si="29"/>
        <v>-101334</v>
      </c>
      <c r="AB960">
        <f t="shared" si="28"/>
        <v>-0.49894815363727113</v>
      </c>
    </row>
    <row r="961" spans="1:28">
      <c r="A961" t="s">
        <v>42</v>
      </c>
      <c r="B961" s="2">
        <v>45748</v>
      </c>
      <c r="C961" s="2">
        <v>45717</v>
      </c>
      <c r="D961" s="2">
        <v>45806</v>
      </c>
      <c r="E961">
        <v>34216532</v>
      </c>
      <c r="F961">
        <v>33920130</v>
      </c>
      <c r="G961">
        <v>-296402</v>
      </c>
      <c r="H961">
        <v>70.819999999999993</v>
      </c>
      <c r="I961">
        <v>270000</v>
      </c>
      <c r="J961" t="s">
        <v>29</v>
      </c>
      <c r="K961">
        <v>36.229999999999997</v>
      </c>
      <c r="L961">
        <v>36.5</v>
      </c>
      <c r="M961">
        <v>10124250</v>
      </c>
      <c r="N961">
        <v>10117466</v>
      </c>
      <c r="O961">
        <v>56</v>
      </c>
      <c r="P961">
        <v>64</v>
      </c>
      <c r="Q961">
        <v>10711200</v>
      </c>
      <c r="R961">
        <v>10717031</v>
      </c>
      <c r="S961">
        <v>0</v>
      </c>
      <c r="T961">
        <v>0</v>
      </c>
      <c r="U961">
        <v>0</v>
      </c>
      <c r="V961">
        <v>0</v>
      </c>
      <c r="W961">
        <v>208915</v>
      </c>
      <c r="X961">
        <v>141577</v>
      </c>
      <c r="Y961">
        <v>13172111</v>
      </c>
      <c r="Z961">
        <v>12943992</v>
      </c>
      <c r="AA961">
        <f t="shared" si="29"/>
        <v>5831</v>
      </c>
      <c r="AB961">
        <f t="shared" si="28"/>
        <v>5.4438344910000748E-2</v>
      </c>
    </row>
    <row r="962" spans="1:28">
      <c r="A962" t="s">
        <v>43</v>
      </c>
      <c r="B962" s="2">
        <v>45748</v>
      </c>
      <c r="C962" s="2">
        <v>45717</v>
      </c>
      <c r="D962" s="2">
        <v>45806</v>
      </c>
      <c r="E962">
        <v>12652293</v>
      </c>
      <c r="F962">
        <v>12684251</v>
      </c>
      <c r="G962">
        <v>31958</v>
      </c>
      <c r="H962">
        <v>96.4</v>
      </c>
      <c r="I962">
        <v>30000</v>
      </c>
      <c r="J962" t="s">
        <v>29</v>
      </c>
      <c r="K962">
        <v>2.5499999999999998</v>
      </c>
      <c r="L962">
        <v>2.58</v>
      </c>
      <c r="M962">
        <v>6419608</v>
      </c>
      <c r="N962">
        <v>6441774</v>
      </c>
      <c r="O962">
        <v>0</v>
      </c>
      <c r="P962">
        <v>0</v>
      </c>
      <c r="Q962">
        <v>637041</v>
      </c>
      <c r="R962">
        <v>629682</v>
      </c>
      <c r="S962">
        <v>1290499</v>
      </c>
      <c r="T962">
        <v>1290594</v>
      </c>
      <c r="U962">
        <v>0</v>
      </c>
      <c r="V962">
        <v>0</v>
      </c>
      <c r="W962">
        <v>0</v>
      </c>
      <c r="X962">
        <v>0</v>
      </c>
      <c r="Y962">
        <v>4305145</v>
      </c>
      <c r="Z962">
        <v>4322201</v>
      </c>
      <c r="AA962">
        <f t="shared" si="29"/>
        <v>-7359</v>
      </c>
      <c r="AB962">
        <f t="shared" si="28"/>
        <v>-1.1551846741418526</v>
      </c>
    </row>
    <row r="963" spans="1:28">
      <c r="A963" t="s">
        <v>44</v>
      </c>
      <c r="B963" s="2">
        <v>45748</v>
      </c>
      <c r="C963" s="2">
        <v>45717</v>
      </c>
      <c r="D963" s="2">
        <v>45806</v>
      </c>
      <c r="E963">
        <v>34924108</v>
      </c>
      <c r="F963">
        <v>35079703</v>
      </c>
      <c r="G963">
        <v>155595</v>
      </c>
      <c r="H963">
        <v>91.55</v>
      </c>
      <c r="I963">
        <v>220000</v>
      </c>
      <c r="J963" t="s">
        <v>29</v>
      </c>
      <c r="K963">
        <v>19.48</v>
      </c>
      <c r="L963">
        <v>19.7</v>
      </c>
      <c r="M963">
        <v>11996212</v>
      </c>
      <c r="N963">
        <v>12000051</v>
      </c>
      <c r="O963">
        <v>0</v>
      </c>
      <c r="P963">
        <v>0</v>
      </c>
      <c r="Q963">
        <v>1397972</v>
      </c>
      <c r="R963">
        <v>1404631</v>
      </c>
      <c r="S963">
        <v>5573279</v>
      </c>
      <c r="T963">
        <v>5565278</v>
      </c>
      <c r="U963">
        <v>0</v>
      </c>
      <c r="V963">
        <v>0</v>
      </c>
      <c r="W963">
        <v>0</v>
      </c>
      <c r="X963">
        <v>0</v>
      </c>
      <c r="Y963">
        <v>15956645</v>
      </c>
      <c r="Z963">
        <v>16109743</v>
      </c>
      <c r="AA963">
        <f t="shared" si="29"/>
        <v>6659</v>
      </c>
      <c r="AB963">
        <f t="shared" ref="AB963:AB1026" si="30">(($R963-$Q963)/$Q963)*100</f>
        <v>0.47633285931334823</v>
      </c>
    </row>
    <row r="964" spans="1:28">
      <c r="A964" t="s">
        <v>45</v>
      </c>
      <c r="B964" s="2">
        <v>45748</v>
      </c>
      <c r="C964" s="2">
        <v>45717</v>
      </c>
      <c r="D964" s="2">
        <v>45806</v>
      </c>
      <c r="E964">
        <v>34040768</v>
      </c>
      <c r="F964">
        <v>34003243</v>
      </c>
      <c r="G964">
        <v>-37525</v>
      </c>
      <c r="H964">
        <v>90.6</v>
      </c>
      <c r="I964">
        <v>350000</v>
      </c>
      <c r="J964" t="s">
        <v>29</v>
      </c>
      <c r="K964">
        <v>36.369999999999997</v>
      </c>
      <c r="L964">
        <v>36.72</v>
      </c>
      <c r="M964">
        <v>12564173</v>
      </c>
      <c r="N964">
        <v>12536760</v>
      </c>
      <c r="O964">
        <v>6</v>
      </c>
      <c r="P964">
        <v>7</v>
      </c>
      <c r="Q964">
        <v>6037566</v>
      </c>
      <c r="R964">
        <v>5987467</v>
      </c>
      <c r="S964">
        <v>4092007</v>
      </c>
      <c r="T964">
        <v>4082258</v>
      </c>
      <c r="U964">
        <v>0</v>
      </c>
      <c r="V964">
        <v>0</v>
      </c>
      <c r="W964">
        <v>0</v>
      </c>
      <c r="X964">
        <v>0</v>
      </c>
      <c r="Y964">
        <v>11347016</v>
      </c>
      <c r="Z964">
        <v>11396751</v>
      </c>
      <c r="AA964">
        <f t="shared" ref="AA964:AA1027" si="31">$R964-$Q964</f>
        <v>-50099</v>
      </c>
      <c r="AB964">
        <f t="shared" si="30"/>
        <v>-0.82978803047453231</v>
      </c>
    </row>
    <row r="965" spans="1:28">
      <c r="A965" t="s">
        <v>46</v>
      </c>
      <c r="B965" s="2">
        <v>45748</v>
      </c>
      <c r="C965" s="2">
        <v>45717</v>
      </c>
      <c r="D965" s="2">
        <v>45806</v>
      </c>
      <c r="E965">
        <v>64621587</v>
      </c>
      <c r="F965">
        <v>64669729</v>
      </c>
      <c r="G965">
        <v>48142</v>
      </c>
      <c r="H965">
        <v>90.8</v>
      </c>
      <c r="I965">
        <v>670000</v>
      </c>
      <c r="J965" t="s">
        <v>29</v>
      </c>
      <c r="K965">
        <v>74.56</v>
      </c>
      <c r="L965">
        <v>75.23</v>
      </c>
      <c r="M965">
        <v>23434836</v>
      </c>
      <c r="N965">
        <v>23398032</v>
      </c>
      <c r="O965">
        <v>81</v>
      </c>
      <c r="P965">
        <v>78</v>
      </c>
      <c r="Q965">
        <v>9173311</v>
      </c>
      <c r="R965">
        <v>9122850</v>
      </c>
      <c r="S965">
        <v>5634425</v>
      </c>
      <c r="T965">
        <v>5626191</v>
      </c>
      <c r="U965">
        <v>0</v>
      </c>
      <c r="V965">
        <v>0</v>
      </c>
      <c r="W965">
        <v>0</v>
      </c>
      <c r="X965">
        <v>0</v>
      </c>
      <c r="Y965">
        <v>26378934</v>
      </c>
      <c r="Z965">
        <v>26522578</v>
      </c>
      <c r="AA965">
        <f t="shared" si="31"/>
        <v>-50461</v>
      </c>
      <c r="AB965">
        <f t="shared" si="30"/>
        <v>-0.55008491481429111</v>
      </c>
    </row>
    <row r="966" spans="1:28">
      <c r="A966" t="s">
        <v>47</v>
      </c>
      <c r="B966" s="2">
        <v>45748</v>
      </c>
      <c r="C966" s="2">
        <v>45717</v>
      </c>
      <c r="D966" s="2">
        <v>45806</v>
      </c>
      <c r="E966">
        <v>77279126</v>
      </c>
      <c r="F966">
        <v>77312995</v>
      </c>
      <c r="G966">
        <v>33869</v>
      </c>
      <c r="H966">
        <v>79.81</v>
      </c>
      <c r="I966">
        <v>630000</v>
      </c>
      <c r="J966" t="s">
        <v>29</v>
      </c>
      <c r="K966">
        <v>69.33</v>
      </c>
      <c r="L966">
        <v>69.959999999999994</v>
      </c>
      <c r="M966">
        <v>30155175</v>
      </c>
      <c r="N966">
        <v>30287993</v>
      </c>
      <c r="O966">
        <v>0</v>
      </c>
      <c r="P966">
        <v>0</v>
      </c>
      <c r="Q966">
        <v>14731787</v>
      </c>
      <c r="R966">
        <v>14592467</v>
      </c>
      <c r="S966">
        <v>7783902</v>
      </c>
      <c r="T966">
        <v>7758526</v>
      </c>
      <c r="U966">
        <v>0</v>
      </c>
      <c r="V966">
        <v>0</v>
      </c>
      <c r="W966">
        <v>0</v>
      </c>
      <c r="X966">
        <v>0</v>
      </c>
      <c r="Y966">
        <v>24608262</v>
      </c>
      <c r="Z966">
        <v>24674009</v>
      </c>
      <c r="AA966">
        <f t="shared" si="31"/>
        <v>-139320</v>
      </c>
      <c r="AB966">
        <f t="shared" si="30"/>
        <v>-0.94571011649842618</v>
      </c>
    </row>
    <row r="967" spans="1:28">
      <c r="A967" t="s">
        <v>48</v>
      </c>
      <c r="B967" s="2">
        <v>45748</v>
      </c>
      <c r="C967" s="2">
        <v>45717</v>
      </c>
      <c r="D967" s="2">
        <v>45806</v>
      </c>
      <c r="E967">
        <v>102392638</v>
      </c>
      <c r="F967">
        <v>102422084</v>
      </c>
      <c r="G967">
        <v>29446</v>
      </c>
      <c r="H967">
        <v>90.1</v>
      </c>
      <c r="I967">
        <v>1920000</v>
      </c>
      <c r="J967" t="s">
        <v>29</v>
      </c>
      <c r="K967">
        <v>111.89</v>
      </c>
      <c r="L967">
        <v>113.81</v>
      </c>
      <c r="M967">
        <v>36484630</v>
      </c>
      <c r="N967">
        <v>36295702</v>
      </c>
      <c r="O967">
        <v>0</v>
      </c>
      <c r="P967">
        <v>0</v>
      </c>
      <c r="Q967">
        <v>16128148</v>
      </c>
      <c r="R967">
        <v>16049712</v>
      </c>
      <c r="S967">
        <v>8081876</v>
      </c>
      <c r="T967">
        <v>8065974</v>
      </c>
      <c r="U967">
        <v>0</v>
      </c>
      <c r="V967">
        <v>0</v>
      </c>
      <c r="W967">
        <v>0</v>
      </c>
      <c r="X967">
        <v>0</v>
      </c>
      <c r="Y967">
        <v>41697984</v>
      </c>
      <c r="Z967">
        <v>42010696</v>
      </c>
      <c r="AA967">
        <f t="shared" si="31"/>
        <v>-78436</v>
      </c>
      <c r="AB967">
        <f t="shared" si="30"/>
        <v>-0.4863298625483844</v>
      </c>
    </row>
    <row r="968" spans="1:28">
      <c r="A968" t="s">
        <v>49</v>
      </c>
      <c r="B968" s="2">
        <v>45748</v>
      </c>
      <c r="C968" s="2">
        <v>45717</v>
      </c>
      <c r="D968" s="2">
        <v>45806</v>
      </c>
      <c r="E968">
        <v>62641261</v>
      </c>
      <c r="F968">
        <v>62669246</v>
      </c>
      <c r="G968">
        <v>27985</v>
      </c>
      <c r="H968">
        <v>90.46</v>
      </c>
      <c r="I968">
        <v>1410000</v>
      </c>
      <c r="J968" t="s">
        <v>29</v>
      </c>
      <c r="K968">
        <v>84.03</v>
      </c>
      <c r="L968">
        <v>85.44</v>
      </c>
      <c r="M968">
        <v>18885824</v>
      </c>
      <c r="N968">
        <v>18828814</v>
      </c>
      <c r="O968">
        <v>0</v>
      </c>
      <c r="P968">
        <v>0</v>
      </c>
      <c r="Q968">
        <v>14371653</v>
      </c>
      <c r="R968">
        <v>14284138</v>
      </c>
      <c r="S968">
        <v>4984322</v>
      </c>
      <c r="T968">
        <v>4979572</v>
      </c>
      <c r="U968">
        <v>0</v>
      </c>
      <c r="V968">
        <v>0</v>
      </c>
      <c r="W968">
        <v>0</v>
      </c>
      <c r="X968">
        <v>0</v>
      </c>
      <c r="Y968">
        <v>24399462</v>
      </c>
      <c r="Z968">
        <v>24576722</v>
      </c>
      <c r="AA968">
        <f t="shared" si="31"/>
        <v>-87515</v>
      </c>
      <c r="AB968">
        <f t="shared" si="30"/>
        <v>-0.60894178282762601</v>
      </c>
    </row>
    <row r="969" spans="1:28">
      <c r="A969" t="s">
        <v>50</v>
      </c>
      <c r="B969" s="2">
        <v>45748</v>
      </c>
      <c r="C969" s="2">
        <v>45717</v>
      </c>
      <c r="D969" s="2">
        <v>45806</v>
      </c>
      <c r="E969">
        <v>57117982</v>
      </c>
      <c r="F969">
        <v>57223714</v>
      </c>
      <c r="G969">
        <v>105732</v>
      </c>
      <c r="H969">
        <v>89.47</v>
      </c>
      <c r="I969">
        <v>1050000</v>
      </c>
      <c r="J969" t="s">
        <v>29</v>
      </c>
      <c r="K969">
        <v>66.88</v>
      </c>
      <c r="L969">
        <v>67.930000000000007</v>
      </c>
      <c r="M969">
        <v>18464267</v>
      </c>
      <c r="N969">
        <v>18469884</v>
      </c>
      <c r="O969">
        <v>9</v>
      </c>
      <c r="P969">
        <v>8</v>
      </c>
      <c r="Q969">
        <v>11620668</v>
      </c>
      <c r="R969">
        <v>11546912</v>
      </c>
      <c r="S969">
        <v>2637783</v>
      </c>
      <c r="T969">
        <v>2633080</v>
      </c>
      <c r="U969">
        <v>0</v>
      </c>
      <c r="V969">
        <v>0</v>
      </c>
      <c r="W969">
        <v>0</v>
      </c>
      <c r="X969">
        <v>0</v>
      </c>
      <c r="Y969">
        <v>24395255</v>
      </c>
      <c r="Z969">
        <v>24573830</v>
      </c>
      <c r="AA969">
        <f t="shared" si="31"/>
        <v>-73756</v>
      </c>
      <c r="AB969">
        <f t="shared" si="30"/>
        <v>-0.63469673171972552</v>
      </c>
    </row>
    <row r="970" spans="1:28">
      <c r="A970" t="s">
        <v>28</v>
      </c>
      <c r="B970" s="2">
        <v>45778</v>
      </c>
      <c r="C970" s="2">
        <v>45748</v>
      </c>
      <c r="D970" s="2">
        <v>45835</v>
      </c>
      <c r="E970">
        <v>82466576</v>
      </c>
      <c r="F970">
        <v>82561797</v>
      </c>
      <c r="G970">
        <v>95221</v>
      </c>
      <c r="H970">
        <v>91.3</v>
      </c>
      <c r="I970">
        <v>650000</v>
      </c>
      <c r="J970" t="s">
        <v>29</v>
      </c>
      <c r="K970">
        <v>73.33</v>
      </c>
      <c r="L970">
        <v>73.98</v>
      </c>
      <c r="M970">
        <v>33965795</v>
      </c>
      <c r="N970">
        <v>34048191</v>
      </c>
      <c r="O970">
        <v>0</v>
      </c>
      <c r="P970">
        <v>0</v>
      </c>
      <c r="Q970">
        <v>9690229</v>
      </c>
      <c r="R970">
        <v>9640343</v>
      </c>
      <c r="S970">
        <v>6939168</v>
      </c>
      <c r="T970">
        <v>6928049</v>
      </c>
      <c r="U970">
        <v>0</v>
      </c>
      <c r="V970">
        <v>0</v>
      </c>
      <c r="W970">
        <v>0</v>
      </c>
      <c r="X970">
        <v>0</v>
      </c>
      <c r="Y970">
        <v>31871384</v>
      </c>
      <c r="Z970">
        <v>31945214</v>
      </c>
      <c r="AA970">
        <f t="shared" si="31"/>
        <v>-49886</v>
      </c>
      <c r="AB970">
        <f t="shared" si="30"/>
        <v>-0.51480723520569016</v>
      </c>
    </row>
    <row r="971" spans="1:28">
      <c r="A971" t="s">
        <v>30</v>
      </c>
      <c r="B971" s="2">
        <v>45778</v>
      </c>
      <c r="C971" s="2">
        <v>45748</v>
      </c>
      <c r="D971" s="2">
        <v>45835</v>
      </c>
      <c r="E971">
        <v>26458756</v>
      </c>
      <c r="F971">
        <v>26448705</v>
      </c>
      <c r="G971">
        <v>-10051</v>
      </c>
      <c r="H971">
        <v>91.61</v>
      </c>
      <c r="I971">
        <v>120000</v>
      </c>
      <c r="J971" t="s">
        <v>29</v>
      </c>
      <c r="K971">
        <v>8.3000000000000007</v>
      </c>
      <c r="L971">
        <v>8.42</v>
      </c>
      <c r="M971">
        <v>12314102</v>
      </c>
      <c r="N971">
        <v>12293151</v>
      </c>
      <c r="O971">
        <v>0</v>
      </c>
      <c r="P971">
        <v>0</v>
      </c>
      <c r="Q971">
        <v>1422240</v>
      </c>
      <c r="R971">
        <v>1434019</v>
      </c>
      <c r="S971">
        <v>2969614</v>
      </c>
      <c r="T971">
        <v>2963344</v>
      </c>
      <c r="U971">
        <v>0</v>
      </c>
      <c r="V971">
        <v>0</v>
      </c>
      <c r="W971">
        <v>0</v>
      </c>
      <c r="X971">
        <v>0</v>
      </c>
      <c r="Y971">
        <v>9752800</v>
      </c>
      <c r="Z971">
        <v>9758191</v>
      </c>
      <c r="AA971">
        <f t="shared" si="31"/>
        <v>11779</v>
      </c>
      <c r="AB971">
        <f t="shared" si="30"/>
        <v>0.82820058499268756</v>
      </c>
    </row>
    <row r="972" spans="1:28">
      <c r="A972" t="s">
        <v>31</v>
      </c>
      <c r="B972" s="2">
        <v>45778</v>
      </c>
      <c r="C972" s="2">
        <v>45748</v>
      </c>
      <c r="D972" s="2">
        <v>45835</v>
      </c>
      <c r="E972">
        <v>96607535</v>
      </c>
      <c r="F972">
        <v>96978474</v>
      </c>
      <c r="G972">
        <v>370939</v>
      </c>
      <c r="H972">
        <v>86.66</v>
      </c>
      <c r="I972">
        <v>1160000</v>
      </c>
      <c r="J972" t="s">
        <v>29</v>
      </c>
      <c r="K972">
        <v>65.97</v>
      </c>
      <c r="L972">
        <v>67.13</v>
      </c>
      <c r="M972">
        <v>40967773</v>
      </c>
      <c r="N972">
        <v>40988647</v>
      </c>
      <c r="O972">
        <v>0</v>
      </c>
      <c r="P972">
        <v>0</v>
      </c>
      <c r="Q972">
        <v>7781220</v>
      </c>
      <c r="R972">
        <v>7830567</v>
      </c>
      <c r="S972">
        <v>5752352</v>
      </c>
      <c r="T972">
        <v>5724768</v>
      </c>
      <c r="U972">
        <v>0</v>
      </c>
      <c r="V972">
        <v>0</v>
      </c>
      <c r="W972">
        <v>0</v>
      </c>
      <c r="X972">
        <v>0</v>
      </c>
      <c r="Y972">
        <v>42106190</v>
      </c>
      <c r="Z972">
        <v>42434492</v>
      </c>
      <c r="AA972">
        <f t="shared" si="31"/>
        <v>49347</v>
      </c>
      <c r="AB972">
        <f t="shared" si="30"/>
        <v>0.63418075828726084</v>
      </c>
    </row>
    <row r="973" spans="1:28">
      <c r="A973" t="s">
        <v>32</v>
      </c>
      <c r="B973" s="2">
        <v>45778</v>
      </c>
      <c r="C973" s="2">
        <v>45748</v>
      </c>
      <c r="D973" s="2">
        <v>45835</v>
      </c>
      <c r="E973">
        <v>56355331</v>
      </c>
      <c r="F973">
        <v>55901023</v>
      </c>
      <c r="G973">
        <v>-454308</v>
      </c>
      <c r="H973">
        <v>52.37</v>
      </c>
      <c r="I973">
        <v>660000</v>
      </c>
      <c r="J973" t="s">
        <v>29</v>
      </c>
      <c r="K973">
        <v>53.87</v>
      </c>
      <c r="L973">
        <v>54.53</v>
      </c>
      <c r="M973">
        <v>18877637</v>
      </c>
      <c r="N973">
        <v>18955970</v>
      </c>
      <c r="O973">
        <v>1</v>
      </c>
      <c r="P973">
        <v>1</v>
      </c>
      <c r="Q973">
        <v>16796269</v>
      </c>
      <c r="R973">
        <v>16668960</v>
      </c>
      <c r="S973">
        <v>0</v>
      </c>
      <c r="T973">
        <v>0</v>
      </c>
      <c r="U973">
        <v>0</v>
      </c>
      <c r="V973">
        <v>0</v>
      </c>
      <c r="W973">
        <v>788984</v>
      </c>
      <c r="X973">
        <v>320183</v>
      </c>
      <c r="Y973">
        <v>19892440</v>
      </c>
      <c r="Z973">
        <v>19955909</v>
      </c>
      <c r="AA973">
        <f t="shared" si="31"/>
        <v>-127309</v>
      </c>
      <c r="AB973">
        <f t="shared" si="30"/>
        <v>-0.75795999694932248</v>
      </c>
    </row>
    <row r="974" spans="1:28">
      <c r="A974" t="s">
        <v>33</v>
      </c>
      <c r="B974" s="2">
        <v>45778</v>
      </c>
      <c r="C974" s="2">
        <v>45748</v>
      </c>
      <c r="D974" s="2">
        <v>45835</v>
      </c>
      <c r="E974">
        <v>65796435</v>
      </c>
      <c r="F974">
        <v>66213606</v>
      </c>
      <c r="G974">
        <v>417171</v>
      </c>
      <c r="H974">
        <v>88.45</v>
      </c>
      <c r="I974">
        <v>890000</v>
      </c>
      <c r="J974" t="s">
        <v>29</v>
      </c>
      <c r="K974">
        <v>77.03</v>
      </c>
      <c r="L974">
        <v>77.92</v>
      </c>
      <c r="M974">
        <v>12401101</v>
      </c>
      <c r="N974">
        <v>12410627</v>
      </c>
      <c r="O974">
        <v>1</v>
      </c>
      <c r="P974">
        <v>1</v>
      </c>
      <c r="Q974">
        <v>19680582</v>
      </c>
      <c r="R974">
        <v>19779837</v>
      </c>
      <c r="S974">
        <v>3260886</v>
      </c>
      <c r="T974">
        <v>3251401</v>
      </c>
      <c r="U974">
        <v>0</v>
      </c>
      <c r="V974">
        <v>0</v>
      </c>
      <c r="W974">
        <v>0</v>
      </c>
      <c r="X974">
        <v>0</v>
      </c>
      <c r="Y974">
        <v>30453865</v>
      </c>
      <c r="Z974">
        <v>30771740</v>
      </c>
      <c r="AA974">
        <f t="shared" si="31"/>
        <v>99255</v>
      </c>
      <c r="AB974">
        <f t="shared" si="30"/>
        <v>0.50432959756982798</v>
      </c>
    </row>
    <row r="975" spans="1:28">
      <c r="A975" t="s">
        <v>34</v>
      </c>
      <c r="B975" s="2">
        <v>45778</v>
      </c>
      <c r="C975" s="2">
        <v>45748</v>
      </c>
      <c r="D975" s="2">
        <v>45835</v>
      </c>
      <c r="E975">
        <v>26127873</v>
      </c>
      <c r="F975">
        <v>26213954</v>
      </c>
      <c r="G975">
        <v>86081</v>
      </c>
      <c r="H975">
        <v>93.75</v>
      </c>
      <c r="I975">
        <v>410000</v>
      </c>
      <c r="J975" t="s">
        <v>29</v>
      </c>
      <c r="K975">
        <v>35.58</v>
      </c>
      <c r="L975">
        <v>35.99</v>
      </c>
      <c r="M975">
        <v>7256973</v>
      </c>
      <c r="N975">
        <v>7297408</v>
      </c>
      <c r="O975">
        <v>0</v>
      </c>
      <c r="P975">
        <v>0</v>
      </c>
      <c r="Q975">
        <v>6337736</v>
      </c>
      <c r="R975">
        <v>6326307</v>
      </c>
      <c r="S975">
        <v>4199581</v>
      </c>
      <c r="T975">
        <v>4235843</v>
      </c>
      <c r="U975">
        <v>0</v>
      </c>
      <c r="V975">
        <v>0</v>
      </c>
      <c r="W975">
        <v>0</v>
      </c>
      <c r="X975">
        <v>0</v>
      </c>
      <c r="Y975">
        <v>8333583</v>
      </c>
      <c r="Z975">
        <v>8354396</v>
      </c>
      <c r="AA975">
        <f t="shared" si="31"/>
        <v>-11429</v>
      </c>
      <c r="AB975">
        <f t="shared" si="30"/>
        <v>-0.18033253515135375</v>
      </c>
    </row>
    <row r="976" spans="1:28">
      <c r="A976" t="s">
        <v>35</v>
      </c>
      <c r="B976" s="2">
        <v>45778</v>
      </c>
      <c r="C976" s="2">
        <v>45748</v>
      </c>
      <c r="D976" s="2">
        <v>45835</v>
      </c>
      <c r="E976">
        <v>8873770</v>
      </c>
      <c r="F976">
        <v>8861314</v>
      </c>
      <c r="G976">
        <v>-12456</v>
      </c>
      <c r="H976">
        <v>103.79</v>
      </c>
      <c r="I976">
        <v>50000</v>
      </c>
      <c r="J976" t="s">
        <v>29</v>
      </c>
      <c r="K976">
        <v>4.74</v>
      </c>
      <c r="L976">
        <v>4.79</v>
      </c>
      <c r="M976">
        <v>3575366</v>
      </c>
      <c r="N976">
        <v>3573207</v>
      </c>
      <c r="O976">
        <v>0</v>
      </c>
      <c r="P976">
        <v>0</v>
      </c>
      <c r="Q976">
        <v>381498</v>
      </c>
      <c r="R976">
        <v>381278</v>
      </c>
      <c r="S976">
        <v>1686251</v>
      </c>
      <c r="T976">
        <v>1673678</v>
      </c>
      <c r="U976">
        <v>0</v>
      </c>
      <c r="V976">
        <v>0</v>
      </c>
      <c r="W976">
        <v>0</v>
      </c>
      <c r="X976">
        <v>0</v>
      </c>
      <c r="Y976">
        <v>3230655</v>
      </c>
      <c r="Z976">
        <v>3233151</v>
      </c>
      <c r="AA976">
        <f t="shared" si="31"/>
        <v>-220</v>
      </c>
      <c r="AB976">
        <f t="shared" si="30"/>
        <v>-5.7667405857959937E-2</v>
      </c>
    </row>
    <row r="977" spans="1:28">
      <c r="A977" t="s">
        <v>36</v>
      </c>
      <c r="B977" s="2">
        <v>45778</v>
      </c>
      <c r="C977" s="2">
        <v>45748</v>
      </c>
      <c r="D977" s="2">
        <v>45835</v>
      </c>
      <c r="E977">
        <v>12312761</v>
      </c>
      <c r="F977">
        <v>12291247</v>
      </c>
      <c r="G977">
        <v>-21514</v>
      </c>
      <c r="H977">
        <v>81.52</v>
      </c>
      <c r="I977">
        <v>80000</v>
      </c>
      <c r="J977" t="s">
        <v>29</v>
      </c>
      <c r="K977">
        <v>3.3</v>
      </c>
      <c r="L977">
        <v>3.38</v>
      </c>
      <c r="M977">
        <v>6259328</v>
      </c>
      <c r="N977">
        <v>6226341</v>
      </c>
      <c r="O977">
        <v>0</v>
      </c>
      <c r="P977">
        <v>0</v>
      </c>
      <c r="Q977">
        <v>266116</v>
      </c>
      <c r="R977">
        <v>262255</v>
      </c>
      <c r="S977">
        <v>865999</v>
      </c>
      <c r="T977">
        <v>862849</v>
      </c>
      <c r="U977">
        <v>0</v>
      </c>
      <c r="V977">
        <v>0</v>
      </c>
      <c r="W977">
        <v>0</v>
      </c>
      <c r="X977">
        <v>0</v>
      </c>
      <c r="Y977">
        <v>4921318</v>
      </c>
      <c r="Z977">
        <v>4939802</v>
      </c>
      <c r="AA977">
        <f t="shared" si="31"/>
        <v>-3861</v>
      </c>
      <c r="AB977">
        <f t="shared" si="30"/>
        <v>-1.4508710487155976</v>
      </c>
    </row>
    <row r="978" spans="1:28">
      <c r="A978" t="s">
        <v>37</v>
      </c>
      <c r="B978" s="2">
        <v>45778</v>
      </c>
      <c r="C978" s="2">
        <v>45748</v>
      </c>
      <c r="D978" s="2">
        <v>45835</v>
      </c>
      <c r="E978">
        <v>68553545</v>
      </c>
      <c r="F978">
        <v>68704099</v>
      </c>
      <c r="G978">
        <v>150554</v>
      </c>
      <c r="H978">
        <v>74.12</v>
      </c>
      <c r="I978">
        <v>590000</v>
      </c>
      <c r="J978" t="s">
        <v>29</v>
      </c>
      <c r="K978">
        <v>74.099999999999994</v>
      </c>
      <c r="L978">
        <v>74.69</v>
      </c>
      <c r="M978">
        <v>32337705</v>
      </c>
      <c r="N978">
        <v>32353587</v>
      </c>
      <c r="O978">
        <v>410</v>
      </c>
      <c r="P978">
        <v>404</v>
      </c>
      <c r="Q978">
        <v>6737615</v>
      </c>
      <c r="R978">
        <v>6727033</v>
      </c>
      <c r="S978">
        <v>4570631</v>
      </c>
      <c r="T978">
        <v>4563424</v>
      </c>
      <c r="U978">
        <v>0</v>
      </c>
      <c r="V978">
        <v>0</v>
      </c>
      <c r="W978">
        <v>0</v>
      </c>
      <c r="X978">
        <v>0</v>
      </c>
      <c r="Y978">
        <v>24907184</v>
      </c>
      <c r="Z978">
        <v>25059651</v>
      </c>
      <c r="AA978">
        <f t="shared" si="31"/>
        <v>-10582</v>
      </c>
      <c r="AB978">
        <f t="shared" si="30"/>
        <v>-0.15705854371316852</v>
      </c>
    </row>
    <row r="979" spans="1:28">
      <c r="A979" t="s">
        <v>38</v>
      </c>
      <c r="B979" s="2">
        <v>45778</v>
      </c>
      <c r="C979" s="2">
        <v>45748</v>
      </c>
      <c r="D979" s="2">
        <v>45835</v>
      </c>
      <c r="E979">
        <v>41427203</v>
      </c>
      <c r="F979">
        <v>41465706</v>
      </c>
      <c r="G979">
        <v>38503</v>
      </c>
      <c r="H979">
        <v>92.48</v>
      </c>
      <c r="I979">
        <v>260000</v>
      </c>
      <c r="J979" t="s">
        <v>29</v>
      </c>
      <c r="K979">
        <v>26.58</v>
      </c>
      <c r="L979">
        <v>26.84</v>
      </c>
      <c r="M979">
        <v>8979470</v>
      </c>
      <c r="N979">
        <v>9053445</v>
      </c>
      <c r="O979">
        <v>0</v>
      </c>
      <c r="P979">
        <v>0</v>
      </c>
      <c r="Q979">
        <v>12886334</v>
      </c>
      <c r="R979">
        <v>12858619</v>
      </c>
      <c r="S979">
        <v>8786312</v>
      </c>
      <c r="T979">
        <v>8768554</v>
      </c>
      <c r="U979">
        <v>0</v>
      </c>
      <c r="V979">
        <v>0</v>
      </c>
      <c r="W979">
        <v>0</v>
      </c>
      <c r="X979">
        <v>0</v>
      </c>
      <c r="Y979">
        <v>10775087</v>
      </c>
      <c r="Z979">
        <v>10785088</v>
      </c>
      <c r="AA979">
        <f t="shared" si="31"/>
        <v>-27715</v>
      </c>
      <c r="AB979">
        <f t="shared" si="30"/>
        <v>-0.21507280503516363</v>
      </c>
    </row>
    <row r="980" spans="1:28">
      <c r="A980" t="s">
        <v>39</v>
      </c>
      <c r="B980" s="2">
        <v>45778</v>
      </c>
      <c r="C980" s="2">
        <v>45748</v>
      </c>
      <c r="D980" s="2">
        <v>45835</v>
      </c>
      <c r="E980">
        <v>22435235</v>
      </c>
      <c r="F980">
        <v>22413689</v>
      </c>
      <c r="G980">
        <v>-21546</v>
      </c>
      <c r="H980">
        <v>87.63</v>
      </c>
      <c r="I980">
        <v>190000</v>
      </c>
      <c r="J980" t="s">
        <v>29</v>
      </c>
      <c r="K980">
        <v>20.36</v>
      </c>
      <c r="L980">
        <v>20.55</v>
      </c>
      <c r="M980">
        <v>5414409</v>
      </c>
      <c r="N980">
        <v>5388945</v>
      </c>
      <c r="O980">
        <v>0</v>
      </c>
      <c r="P980">
        <v>0</v>
      </c>
      <c r="Q980">
        <v>4797574</v>
      </c>
      <c r="R980">
        <v>4768376</v>
      </c>
      <c r="S980">
        <v>1455425</v>
      </c>
      <c r="T980">
        <v>1454009</v>
      </c>
      <c r="U980">
        <v>0</v>
      </c>
      <c r="V980">
        <v>0</v>
      </c>
      <c r="W980">
        <v>0</v>
      </c>
      <c r="X980">
        <v>0</v>
      </c>
      <c r="Y980">
        <v>10767827</v>
      </c>
      <c r="Z980">
        <v>10802359</v>
      </c>
      <c r="AA980">
        <f t="shared" si="31"/>
        <v>-29198</v>
      </c>
      <c r="AB980">
        <f t="shared" si="30"/>
        <v>-0.60859926287744592</v>
      </c>
    </row>
    <row r="981" spans="1:28">
      <c r="A981" t="s">
        <v>40</v>
      </c>
      <c r="B981" s="2">
        <v>45778</v>
      </c>
      <c r="C981" s="2">
        <v>45748</v>
      </c>
      <c r="D981" s="2">
        <v>45835</v>
      </c>
      <c r="E981">
        <v>80719409</v>
      </c>
      <c r="F981">
        <v>81053813</v>
      </c>
      <c r="G981">
        <v>334404</v>
      </c>
      <c r="H981">
        <v>87.08</v>
      </c>
      <c r="I981">
        <v>1250000</v>
      </c>
      <c r="J981" t="s">
        <v>29</v>
      </c>
      <c r="K981">
        <v>89.58</v>
      </c>
      <c r="L981">
        <v>90.83</v>
      </c>
      <c r="M981">
        <v>16632103</v>
      </c>
      <c r="N981">
        <v>16640450</v>
      </c>
      <c r="O981">
        <v>0</v>
      </c>
      <c r="P981">
        <v>0</v>
      </c>
      <c r="Q981">
        <v>13390619</v>
      </c>
      <c r="R981">
        <v>13333801</v>
      </c>
      <c r="S981">
        <v>5129940</v>
      </c>
      <c r="T981">
        <v>5092733</v>
      </c>
      <c r="U981">
        <v>0</v>
      </c>
      <c r="V981">
        <v>0</v>
      </c>
      <c r="W981">
        <v>0</v>
      </c>
      <c r="X981">
        <v>0</v>
      </c>
      <c r="Y981">
        <v>45566747</v>
      </c>
      <c r="Z981">
        <v>45986829</v>
      </c>
      <c r="AA981">
        <f t="shared" si="31"/>
        <v>-56818</v>
      </c>
      <c r="AB981">
        <f t="shared" si="30"/>
        <v>-0.42431197542100185</v>
      </c>
    </row>
    <row r="982" spans="1:28">
      <c r="A982" t="s">
        <v>41</v>
      </c>
      <c r="B982" s="2">
        <v>45778</v>
      </c>
      <c r="C982" s="2">
        <v>45748</v>
      </c>
      <c r="D982" s="2">
        <v>45835</v>
      </c>
      <c r="E982">
        <v>90811768</v>
      </c>
      <c r="F982">
        <v>91012113</v>
      </c>
      <c r="G982">
        <v>200345</v>
      </c>
      <c r="H982">
        <v>93.06</v>
      </c>
      <c r="I982">
        <v>920000</v>
      </c>
      <c r="J982" t="s">
        <v>29</v>
      </c>
      <c r="K982">
        <v>91.8</v>
      </c>
      <c r="L982">
        <v>92.72</v>
      </c>
      <c r="M982">
        <v>22616457</v>
      </c>
      <c r="N982">
        <v>22643568</v>
      </c>
      <c r="O982">
        <v>0</v>
      </c>
      <c r="P982">
        <v>0</v>
      </c>
      <c r="Q982">
        <v>20208191</v>
      </c>
      <c r="R982">
        <v>20236102</v>
      </c>
      <c r="S982">
        <v>5288032</v>
      </c>
      <c r="T982">
        <v>5270399</v>
      </c>
      <c r="U982">
        <v>0</v>
      </c>
      <c r="V982">
        <v>0</v>
      </c>
      <c r="W982">
        <v>0</v>
      </c>
      <c r="X982">
        <v>0</v>
      </c>
      <c r="Y982">
        <v>42699088</v>
      </c>
      <c r="Z982">
        <v>42862044</v>
      </c>
      <c r="AA982">
        <f t="shared" si="31"/>
        <v>27911</v>
      </c>
      <c r="AB982">
        <f t="shared" si="30"/>
        <v>0.1381172614609591</v>
      </c>
    </row>
    <row r="983" spans="1:28">
      <c r="A983" t="s">
        <v>42</v>
      </c>
      <c r="B983" s="2">
        <v>45778</v>
      </c>
      <c r="C983" s="2">
        <v>45748</v>
      </c>
      <c r="D983" s="2">
        <v>45835</v>
      </c>
      <c r="E983">
        <v>33920130</v>
      </c>
      <c r="F983">
        <v>33918295</v>
      </c>
      <c r="G983">
        <v>-1835</v>
      </c>
      <c r="H983">
        <v>65.83</v>
      </c>
      <c r="I983">
        <v>240000</v>
      </c>
      <c r="J983" t="s">
        <v>29</v>
      </c>
      <c r="K983">
        <v>36.5</v>
      </c>
      <c r="L983">
        <v>36.74</v>
      </c>
      <c r="M983">
        <v>10117466</v>
      </c>
      <c r="N983">
        <v>10098290</v>
      </c>
      <c r="O983">
        <v>64</v>
      </c>
      <c r="P983">
        <v>65</v>
      </c>
      <c r="Q983">
        <v>10717031</v>
      </c>
      <c r="R983">
        <v>10718766</v>
      </c>
      <c r="S983">
        <v>0</v>
      </c>
      <c r="T983">
        <v>0</v>
      </c>
      <c r="U983">
        <v>0</v>
      </c>
      <c r="V983">
        <v>0</v>
      </c>
      <c r="W983">
        <v>141577</v>
      </c>
      <c r="X983">
        <v>139566</v>
      </c>
      <c r="Y983">
        <v>12943992</v>
      </c>
      <c r="Z983">
        <v>12961608</v>
      </c>
      <c r="AA983">
        <f t="shared" si="31"/>
        <v>1735</v>
      </c>
      <c r="AB983">
        <f t="shared" si="30"/>
        <v>1.6189185232365195E-2</v>
      </c>
    </row>
    <row r="984" spans="1:28">
      <c r="A984" t="s">
        <v>43</v>
      </c>
      <c r="B984" s="2">
        <v>45778</v>
      </c>
      <c r="C984" s="2">
        <v>45748</v>
      </c>
      <c r="D984" s="2">
        <v>45835</v>
      </c>
      <c r="E984">
        <v>12684251</v>
      </c>
      <c r="F984">
        <v>12725702</v>
      </c>
      <c r="G984">
        <v>41451</v>
      </c>
      <c r="H984">
        <v>96.74</v>
      </c>
      <c r="I984">
        <v>30000</v>
      </c>
      <c r="J984" t="s">
        <v>29</v>
      </c>
      <c r="K984">
        <v>2.58</v>
      </c>
      <c r="L984">
        <v>2.61</v>
      </c>
      <c r="M984">
        <v>6441774</v>
      </c>
      <c r="N984">
        <v>6453660</v>
      </c>
      <c r="O984">
        <v>0</v>
      </c>
      <c r="P984">
        <v>0</v>
      </c>
      <c r="Q984">
        <v>629682</v>
      </c>
      <c r="R984">
        <v>624589</v>
      </c>
      <c r="S984">
        <v>1290594</v>
      </c>
      <c r="T984">
        <v>1287918</v>
      </c>
      <c r="U984">
        <v>0</v>
      </c>
      <c r="V984">
        <v>0</v>
      </c>
      <c r="W984">
        <v>0</v>
      </c>
      <c r="X984">
        <v>0</v>
      </c>
      <c r="Y984">
        <v>4322201</v>
      </c>
      <c r="Z984">
        <v>4359535</v>
      </c>
      <c r="AA984">
        <f t="shared" si="31"/>
        <v>-5093</v>
      </c>
      <c r="AB984">
        <f t="shared" si="30"/>
        <v>-0.80882096042129203</v>
      </c>
    </row>
    <row r="985" spans="1:28">
      <c r="A985" t="s">
        <v>44</v>
      </c>
      <c r="B985" s="2">
        <v>45778</v>
      </c>
      <c r="C985" s="2">
        <v>45748</v>
      </c>
      <c r="D985" s="2">
        <v>45835</v>
      </c>
      <c r="E985">
        <v>35079703</v>
      </c>
      <c r="F985">
        <v>35247996</v>
      </c>
      <c r="G985">
        <v>168293</v>
      </c>
      <c r="H985">
        <v>90.22</v>
      </c>
      <c r="I985">
        <v>230000</v>
      </c>
      <c r="J985" t="s">
        <v>29</v>
      </c>
      <c r="K985">
        <v>19.7</v>
      </c>
      <c r="L985">
        <v>19.93</v>
      </c>
      <c r="M985">
        <v>12000051</v>
      </c>
      <c r="N985">
        <v>12003744</v>
      </c>
      <c r="O985">
        <v>0</v>
      </c>
      <c r="P985">
        <v>0</v>
      </c>
      <c r="Q985">
        <v>1404631</v>
      </c>
      <c r="R985">
        <v>1423473</v>
      </c>
      <c r="S985">
        <v>5565278</v>
      </c>
      <c r="T985">
        <v>5556906</v>
      </c>
      <c r="U985">
        <v>0</v>
      </c>
      <c r="V985">
        <v>0</v>
      </c>
      <c r="W985">
        <v>0</v>
      </c>
      <c r="X985">
        <v>0</v>
      </c>
      <c r="Y985">
        <v>16109743</v>
      </c>
      <c r="Z985">
        <v>16263873</v>
      </c>
      <c r="AA985">
        <f t="shared" si="31"/>
        <v>18842</v>
      </c>
      <c r="AB985">
        <f t="shared" si="30"/>
        <v>1.3414199174017944</v>
      </c>
    </row>
    <row r="986" spans="1:28">
      <c r="A986" t="s">
        <v>45</v>
      </c>
      <c r="B986" s="2">
        <v>45778</v>
      </c>
      <c r="C986" s="2">
        <v>45748</v>
      </c>
      <c r="D986" s="2">
        <v>45835</v>
      </c>
      <c r="E986">
        <v>34003243</v>
      </c>
      <c r="F986">
        <v>33950750</v>
      </c>
      <c r="G986">
        <v>-52493</v>
      </c>
      <c r="H986">
        <v>90.22</v>
      </c>
      <c r="I986">
        <v>360000</v>
      </c>
      <c r="J986" t="s">
        <v>29</v>
      </c>
      <c r="K986">
        <v>36.72</v>
      </c>
      <c r="L986">
        <v>37.08</v>
      </c>
      <c r="M986">
        <v>12536760</v>
      </c>
      <c r="N986">
        <v>12534759</v>
      </c>
      <c r="O986">
        <v>7</v>
      </c>
      <c r="P986">
        <v>7</v>
      </c>
      <c r="Q986">
        <v>5987467</v>
      </c>
      <c r="R986">
        <v>5940040</v>
      </c>
      <c r="S986">
        <v>4082258</v>
      </c>
      <c r="T986">
        <v>4075609</v>
      </c>
      <c r="U986">
        <v>0</v>
      </c>
      <c r="V986">
        <v>0</v>
      </c>
      <c r="W986">
        <v>0</v>
      </c>
      <c r="X986">
        <v>0</v>
      </c>
      <c r="Y986">
        <v>11396751</v>
      </c>
      <c r="Z986">
        <v>11400335</v>
      </c>
      <c r="AA986">
        <f t="shared" si="31"/>
        <v>-47427</v>
      </c>
      <c r="AB986">
        <f t="shared" si="30"/>
        <v>-0.79210457443857318</v>
      </c>
    </row>
    <row r="987" spans="1:28">
      <c r="A987" t="s">
        <v>46</v>
      </c>
      <c r="B987" s="2">
        <v>45778</v>
      </c>
      <c r="C987" s="2">
        <v>45748</v>
      </c>
      <c r="D987" s="2">
        <v>45835</v>
      </c>
      <c r="E987">
        <v>64669729</v>
      </c>
      <c r="F987">
        <v>64718183</v>
      </c>
      <c r="G987">
        <v>48454</v>
      </c>
      <c r="H987">
        <v>89.33</v>
      </c>
      <c r="I987">
        <v>760000</v>
      </c>
      <c r="J987" t="s">
        <v>29</v>
      </c>
      <c r="K987">
        <v>75.23</v>
      </c>
      <c r="L987">
        <v>75.989999999999995</v>
      </c>
      <c r="M987">
        <v>23398032</v>
      </c>
      <c r="N987">
        <v>23389579</v>
      </c>
      <c r="O987">
        <v>78</v>
      </c>
      <c r="P987">
        <v>52</v>
      </c>
      <c r="Q987">
        <v>9122850</v>
      </c>
      <c r="R987">
        <v>9091447</v>
      </c>
      <c r="S987">
        <v>5626191</v>
      </c>
      <c r="T987">
        <v>5619511</v>
      </c>
      <c r="U987">
        <v>0</v>
      </c>
      <c r="V987">
        <v>0</v>
      </c>
      <c r="W987">
        <v>0</v>
      </c>
      <c r="X987">
        <v>0</v>
      </c>
      <c r="Y987">
        <v>26522578</v>
      </c>
      <c r="Z987">
        <v>26617594</v>
      </c>
      <c r="AA987">
        <f t="shared" si="31"/>
        <v>-31403</v>
      </c>
      <c r="AB987">
        <f t="shared" si="30"/>
        <v>-0.34422357048510061</v>
      </c>
    </row>
    <row r="988" spans="1:28">
      <c r="A988" t="s">
        <v>47</v>
      </c>
      <c r="B988" s="2">
        <v>45778</v>
      </c>
      <c r="C988" s="2">
        <v>45748</v>
      </c>
      <c r="D988" s="2">
        <v>45835</v>
      </c>
      <c r="E988">
        <v>77312995</v>
      </c>
      <c r="F988">
        <v>77486951</v>
      </c>
      <c r="G988">
        <v>173956</v>
      </c>
      <c r="H988">
        <v>79.64</v>
      </c>
      <c r="I988">
        <v>630000</v>
      </c>
      <c r="J988" t="s">
        <v>29</v>
      </c>
      <c r="K988">
        <v>69.959999999999994</v>
      </c>
      <c r="L988">
        <v>70.59</v>
      </c>
      <c r="M988">
        <v>30287993</v>
      </c>
      <c r="N988">
        <v>30397167</v>
      </c>
      <c r="O988">
        <v>0</v>
      </c>
      <c r="P988">
        <v>0</v>
      </c>
      <c r="Q988">
        <v>14592467</v>
      </c>
      <c r="R988">
        <v>14580242</v>
      </c>
      <c r="S988">
        <v>7758526</v>
      </c>
      <c r="T988">
        <v>7783965</v>
      </c>
      <c r="U988">
        <v>0</v>
      </c>
      <c r="V988">
        <v>0</v>
      </c>
      <c r="W988">
        <v>0</v>
      </c>
      <c r="X988">
        <v>0</v>
      </c>
      <c r="Y988">
        <v>24674009</v>
      </c>
      <c r="Z988">
        <v>24725577</v>
      </c>
      <c r="AA988">
        <f t="shared" si="31"/>
        <v>-12225</v>
      </c>
      <c r="AB988">
        <f t="shared" si="30"/>
        <v>-8.3776101737972064E-2</v>
      </c>
    </row>
    <row r="989" spans="1:28">
      <c r="A989" t="s">
        <v>48</v>
      </c>
      <c r="B989" s="2">
        <v>45778</v>
      </c>
      <c r="C989" s="2">
        <v>45748</v>
      </c>
      <c r="D989" s="2">
        <v>45835</v>
      </c>
      <c r="E989">
        <v>102422084</v>
      </c>
      <c r="F989">
        <v>102747406</v>
      </c>
      <c r="G989">
        <v>325322</v>
      </c>
      <c r="H989">
        <v>91.51</v>
      </c>
      <c r="I989">
        <v>1960000</v>
      </c>
      <c r="J989" t="s">
        <v>29</v>
      </c>
      <c r="K989">
        <v>113.81</v>
      </c>
      <c r="L989">
        <v>115.77</v>
      </c>
      <c r="M989">
        <v>36295702</v>
      </c>
      <c r="N989">
        <v>36260483</v>
      </c>
      <c r="O989">
        <v>0</v>
      </c>
      <c r="P989">
        <v>0</v>
      </c>
      <c r="Q989">
        <v>16049712</v>
      </c>
      <c r="R989">
        <v>16039247</v>
      </c>
      <c r="S989">
        <v>8065974</v>
      </c>
      <c r="T989">
        <v>8062697</v>
      </c>
      <c r="U989">
        <v>0</v>
      </c>
      <c r="V989">
        <v>0</v>
      </c>
      <c r="W989">
        <v>0</v>
      </c>
      <c r="X989">
        <v>0</v>
      </c>
      <c r="Y989">
        <v>42010696</v>
      </c>
      <c r="Z989">
        <v>42384979</v>
      </c>
      <c r="AA989">
        <f t="shared" si="31"/>
        <v>-10465</v>
      </c>
      <c r="AB989">
        <f t="shared" si="30"/>
        <v>-6.5203662221477859E-2</v>
      </c>
    </row>
    <row r="990" spans="1:28">
      <c r="A990" t="s">
        <v>49</v>
      </c>
      <c r="B990" s="2">
        <v>45778</v>
      </c>
      <c r="C990" s="2">
        <v>45748</v>
      </c>
      <c r="D990" s="2">
        <v>45835</v>
      </c>
      <c r="E990">
        <v>62669246</v>
      </c>
      <c r="F990">
        <v>62786343</v>
      </c>
      <c r="G990">
        <v>117097</v>
      </c>
      <c r="H990">
        <v>89.9</v>
      </c>
      <c r="I990">
        <v>1460000</v>
      </c>
      <c r="J990" t="s">
        <v>29</v>
      </c>
      <c r="K990">
        <v>85.44</v>
      </c>
      <c r="L990">
        <v>86.9</v>
      </c>
      <c r="M990">
        <v>18828814</v>
      </c>
      <c r="N990">
        <v>18796958</v>
      </c>
      <c r="O990">
        <v>0</v>
      </c>
      <c r="P990">
        <v>0</v>
      </c>
      <c r="Q990">
        <v>14284138</v>
      </c>
      <c r="R990">
        <v>14260491</v>
      </c>
      <c r="S990">
        <v>4979572</v>
      </c>
      <c r="T990">
        <v>4974408</v>
      </c>
      <c r="U990">
        <v>0</v>
      </c>
      <c r="V990">
        <v>0</v>
      </c>
      <c r="W990">
        <v>0</v>
      </c>
      <c r="X990">
        <v>0</v>
      </c>
      <c r="Y990">
        <v>24576722</v>
      </c>
      <c r="Z990">
        <v>24754486</v>
      </c>
      <c r="AA990">
        <f t="shared" si="31"/>
        <v>-23647</v>
      </c>
      <c r="AB990">
        <f t="shared" si="30"/>
        <v>-0.16554726648538401</v>
      </c>
    </row>
    <row r="991" spans="1:28">
      <c r="A991" t="s">
        <v>50</v>
      </c>
      <c r="B991" s="2">
        <v>45778</v>
      </c>
      <c r="C991" s="2">
        <v>45748</v>
      </c>
      <c r="D991" s="2">
        <v>45835</v>
      </c>
      <c r="E991">
        <v>57223714</v>
      </c>
      <c r="F991">
        <v>57325214</v>
      </c>
      <c r="G991">
        <v>101500</v>
      </c>
      <c r="H991">
        <v>88.37</v>
      </c>
      <c r="I991">
        <v>1150000</v>
      </c>
      <c r="J991" t="s">
        <v>29</v>
      </c>
      <c r="K991">
        <v>67.930000000000007</v>
      </c>
      <c r="L991">
        <v>69.08</v>
      </c>
      <c r="M991">
        <v>18469884</v>
      </c>
      <c r="N991">
        <v>18442139</v>
      </c>
      <c r="O991">
        <v>8</v>
      </c>
      <c r="P991">
        <v>9</v>
      </c>
      <c r="Q991">
        <v>11546912</v>
      </c>
      <c r="R991">
        <v>11511218</v>
      </c>
      <c r="S991">
        <v>2633080</v>
      </c>
      <c r="T991">
        <v>2619945</v>
      </c>
      <c r="U991">
        <v>0</v>
      </c>
      <c r="V991">
        <v>0</v>
      </c>
      <c r="W991">
        <v>0</v>
      </c>
      <c r="X991">
        <v>0</v>
      </c>
      <c r="Y991">
        <v>24573830</v>
      </c>
      <c r="Z991">
        <v>24751903</v>
      </c>
      <c r="AA991">
        <f t="shared" si="31"/>
        <v>-35694</v>
      </c>
      <c r="AB991">
        <f t="shared" si="30"/>
        <v>-0.30912160757785284</v>
      </c>
    </row>
    <row r="992" spans="1:28">
      <c r="A992" t="s">
        <v>28</v>
      </c>
      <c r="B992" s="2">
        <v>45809</v>
      </c>
      <c r="C992" s="2">
        <v>45778</v>
      </c>
      <c r="D992" s="2">
        <v>45867</v>
      </c>
      <c r="E992">
        <v>82561797</v>
      </c>
      <c r="F992">
        <v>82672369</v>
      </c>
      <c r="G992">
        <v>110572</v>
      </c>
      <c r="H992">
        <v>91.49</v>
      </c>
      <c r="I992">
        <v>640000</v>
      </c>
      <c r="J992" t="s">
        <v>29</v>
      </c>
      <c r="K992">
        <v>73.98</v>
      </c>
      <c r="L992">
        <v>74.62</v>
      </c>
      <c r="M992">
        <v>34048191</v>
      </c>
      <c r="N992">
        <v>34242244</v>
      </c>
      <c r="O992">
        <v>0</v>
      </c>
      <c r="P992">
        <v>0</v>
      </c>
      <c r="Q992">
        <v>9640343</v>
      </c>
      <c r="R992">
        <v>9596019</v>
      </c>
      <c r="S992">
        <v>6928049</v>
      </c>
      <c r="T992">
        <v>6914850</v>
      </c>
      <c r="U992">
        <v>0</v>
      </c>
      <c r="V992">
        <v>0</v>
      </c>
      <c r="W992">
        <v>0</v>
      </c>
      <c r="X992">
        <v>0</v>
      </c>
      <c r="Y992">
        <v>31945214</v>
      </c>
      <c r="Z992">
        <v>31919256</v>
      </c>
      <c r="AA992">
        <f t="shared" si="31"/>
        <v>-44324</v>
      </c>
      <c r="AB992">
        <f t="shared" si="30"/>
        <v>-0.45977617186442438</v>
      </c>
    </row>
    <row r="993" spans="1:28">
      <c r="A993" t="s">
        <v>30</v>
      </c>
      <c r="B993" s="2">
        <v>45809</v>
      </c>
      <c r="C993" s="2">
        <v>45778</v>
      </c>
      <c r="D993" s="2">
        <v>45867</v>
      </c>
      <c r="E993">
        <v>26448705</v>
      </c>
      <c r="F993">
        <v>26441948</v>
      </c>
      <c r="G993">
        <v>-6757</v>
      </c>
      <c r="H993">
        <v>91.32</v>
      </c>
      <c r="I993">
        <v>120000</v>
      </c>
      <c r="J993" t="s">
        <v>29</v>
      </c>
      <c r="K993">
        <v>8.42</v>
      </c>
      <c r="L993">
        <v>8.5399999999999991</v>
      </c>
      <c r="M993">
        <v>12293151</v>
      </c>
      <c r="N993">
        <v>12307089</v>
      </c>
      <c r="O993">
        <v>0</v>
      </c>
      <c r="P993">
        <v>0</v>
      </c>
      <c r="Q993">
        <v>1434019</v>
      </c>
      <c r="R993">
        <v>1429694</v>
      </c>
      <c r="S993">
        <v>2963344</v>
      </c>
      <c r="T993">
        <v>2949537</v>
      </c>
      <c r="U993">
        <v>0</v>
      </c>
      <c r="V993">
        <v>0</v>
      </c>
      <c r="W993">
        <v>0</v>
      </c>
      <c r="X993">
        <v>0</v>
      </c>
      <c r="Y993">
        <v>9758191</v>
      </c>
      <c r="Z993">
        <v>9755628</v>
      </c>
      <c r="AA993">
        <f t="shared" si="31"/>
        <v>-4325</v>
      </c>
      <c r="AB993">
        <f t="shared" si="30"/>
        <v>-0.30159990906675571</v>
      </c>
    </row>
    <row r="994" spans="1:28">
      <c r="A994" t="s">
        <v>31</v>
      </c>
      <c r="B994" s="2">
        <v>45809</v>
      </c>
      <c r="C994" s="2">
        <v>45778</v>
      </c>
      <c r="D994" s="2">
        <v>45867</v>
      </c>
      <c r="E994">
        <v>96978474</v>
      </c>
      <c r="F994">
        <v>97217833</v>
      </c>
      <c r="G994">
        <v>239359</v>
      </c>
      <c r="H994">
        <v>86.03</v>
      </c>
      <c r="I994">
        <v>1080000</v>
      </c>
      <c r="J994" t="s">
        <v>29</v>
      </c>
      <c r="K994">
        <v>67.13</v>
      </c>
      <c r="L994">
        <v>68.209999999999994</v>
      </c>
      <c r="M994">
        <v>40988647</v>
      </c>
      <c r="N994">
        <v>40991403</v>
      </c>
      <c r="O994">
        <v>0</v>
      </c>
      <c r="P994">
        <v>0</v>
      </c>
      <c r="Q994">
        <v>7830567</v>
      </c>
      <c r="R994">
        <v>7858060</v>
      </c>
      <c r="S994">
        <v>5724768</v>
      </c>
      <c r="T994">
        <v>5685861</v>
      </c>
      <c r="U994">
        <v>0</v>
      </c>
      <c r="V994">
        <v>0</v>
      </c>
      <c r="W994">
        <v>0</v>
      </c>
      <c r="X994">
        <v>0</v>
      </c>
      <c r="Y994">
        <v>42434492</v>
      </c>
      <c r="Z994">
        <v>42682509</v>
      </c>
      <c r="AA994">
        <f t="shared" si="31"/>
        <v>27493</v>
      </c>
      <c r="AB994">
        <f t="shared" si="30"/>
        <v>0.35109845813208673</v>
      </c>
    </row>
    <row r="995" spans="1:28">
      <c r="A995" t="s">
        <v>32</v>
      </c>
      <c r="B995" s="2">
        <v>45809</v>
      </c>
      <c r="C995" s="2">
        <v>45778</v>
      </c>
      <c r="D995" s="2">
        <v>45867</v>
      </c>
      <c r="E995">
        <v>55901023</v>
      </c>
      <c r="F995">
        <v>55802688</v>
      </c>
      <c r="G995">
        <v>-98335</v>
      </c>
      <c r="H995">
        <v>51.49</v>
      </c>
      <c r="I995">
        <v>610000</v>
      </c>
      <c r="J995" t="s">
        <v>29</v>
      </c>
      <c r="K995">
        <v>54.53</v>
      </c>
      <c r="L995">
        <v>55.14</v>
      </c>
      <c r="M995">
        <v>18955970</v>
      </c>
      <c r="N995">
        <v>19006627</v>
      </c>
      <c r="O995">
        <v>1</v>
      </c>
      <c r="P995">
        <v>1</v>
      </c>
      <c r="Q995">
        <v>16668960</v>
      </c>
      <c r="R995">
        <v>16728046</v>
      </c>
      <c r="S995">
        <v>0</v>
      </c>
      <c r="T995">
        <v>0</v>
      </c>
      <c r="U995">
        <v>0</v>
      </c>
      <c r="V995">
        <v>0</v>
      </c>
      <c r="W995">
        <v>320183</v>
      </c>
      <c r="X995">
        <v>174758</v>
      </c>
      <c r="Y995">
        <v>19955909</v>
      </c>
      <c r="Z995">
        <v>19893256</v>
      </c>
      <c r="AA995">
        <f t="shared" si="31"/>
        <v>59086</v>
      </c>
      <c r="AB995">
        <f t="shared" si="30"/>
        <v>0.35446722530979735</v>
      </c>
    </row>
    <row r="996" spans="1:28">
      <c r="A996" t="s">
        <v>33</v>
      </c>
      <c r="B996" s="2">
        <v>45809</v>
      </c>
      <c r="C996" s="2">
        <v>45778</v>
      </c>
      <c r="D996" s="2">
        <v>45867</v>
      </c>
      <c r="E996">
        <v>66213606</v>
      </c>
      <c r="F996">
        <v>66511110</v>
      </c>
      <c r="G996">
        <v>297504</v>
      </c>
      <c r="H996">
        <v>89.87</v>
      </c>
      <c r="I996">
        <v>880000</v>
      </c>
      <c r="J996" t="s">
        <v>29</v>
      </c>
      <c r="K996">
        <v>77.92</v>
      </c>
      <c r="L996">
        <v>78.8</v>
      </c>
      <c r="M996">
        <v>12410627</v>
      </c>
      <c r="N996">
        <v>12420850</v>
      </c>
      <c r="O996">
        <v>1</v>
      </c>
      <c r="P996">
        <v>1</v>
      </c>
      <c r="Q996">
        <v>19779837</v>
      </c>
      <c r="R996">
        <v>19750613</v>
      </c>
      <c r="S996">
        <v>3251401</v>
      </c>
      <c r="T996">
        <v>3240893</v>
      </c>
      <c r="U996">
        <v>0</v>
      </c>
      <c r="V996">
        <v>0</v>
      </c>
      <c r="W996">
        <v>0</v>
      </c>
      <c r="X996">
        <v>0</v>
      </c>
      <c r="Y996">
        <v>30771740</v>
      </c>
      <c r="Z996">
        <v>31098753</v>
      </c>
      <c r="AA996">
        <f t="shared" si="31"/>
        <v>-29224</v>
      </c>
      <c r="AB996">
        <f t="shared" si="30"/>
        <v>-0.14774641469492392</v>
      </c>
    </row>
    <row r="997" spans="1:28">
      <c r="A997" t="s">
        <v>34</v>
      </c>
      <c r="B997" s="2">
        <v>45809</v>
      </c>
      <c r="C997" s="2">
        <v>45778</v>
      </c>
      <c r="D997" s="2">
        <v>45867</v>
      </c>
      <c r="E997">
        <v>26213954</v>
      </c>
      <c r="F997">
        <v>26255296</v>
      </c>
      <c r="G997">
        <v>41342</v>
      </c>
      <c r="H997">
        <v>91.65</v>
      </c>
      <c r="I997">
        <v>420000</v>
      </c>
      <c r="J997" t="s">
        <v>29</v>
      </c>
      <c r="K997">
        <v>35.99</v>
      </c>
      <c r="L997">
        <v>36.409999999999997</v>
      </c>
      <c r="M997">
        <v>7297408</v>
      </c>
      <c r="N997">
        <v>7337692</v>
      </c>
      <c r="O997">
        <v>0</v>
      </c>
      <c r="P997">
        <v>0</v>
      </c>
      <c r="Q997">
        <v>6326307</v>
      </c>
      <c r="R997">
        <v>6310748</v>
      </c>
      <c r="S997">
        <v>4235843</v>
      </c>
      <c r="T997">
        <v>4254279</v>
      </c>
      <c r="U997">
        <v>0</v>
      </c>
      <c r="V997">
        <v>0</v>
      </c>
      <c r="W997">
        <v>0</v>
      </c>
      <c r="X997">
        <v>0</v>
      </c>
      <c r="Y997">
        <v>8354396</v>
      </c>
      <c r="Z997">
        <v>8352577</v>
      </c>
      <c r="AA997">
        <f t="shared" si="31"/>
        <v>-15559</v>
      </c>
      <c r="AB997">
        <f t="shared" si="30"/>
        <v>-0.24594127347914038</v>
      </c>
    </row>
    <row r="998" spans="1:28">
      <c r="A998" t="s">
        <v>35</v>
      </c>
      <c r="B998" s="2">
        <v>45809</v>
      </c>
      <c r="C998" s="2">
        <v>45778</v>
      </c>
      <c r="D998" s="2">
        <v>45867</v>
      </c>
      <c r="E998">
        <v>8861314</v>
      </c>
      <c r="F998">
        <v>8894559</v>
      </c>
      <c r="G998">
        <v>33245</v>
      </c>
      <c r="H998">
        <v>110.32</v>
      </c>
      <c r="I998">
        <v>40000</v>
      </c>
      <c r="J998" t="s">
        <v>29</v>
      </c>
      <c r="K998">
        <v>4.79</v>
      </c>
      <c r="L998">
        <v>4.83</v>
      </c>
      <c r="M998">
        <v>3573207</v>
      </c>
      <c r="N998">
        <v>3599301</v>
      </c>
      <c r="O998">
        <v>0</v>
      </c>
      <c r="P998">
        <v>0</v>
      </c>
      <c r="Q998">
        <v>381278</v>
      </c>
      <c r="R998">
        <v>381258</v>
      </c>
      <c r="S998">
        <v>1673678</v>
      </c>
      <c r="T998">
        <v>1679271</v>
      </c>
      <c r="U998">
        <v>0</v>
      </c>
      <c r="V998">
        <v>0</v>
      </c>
      <c r="W998">
        <v>0</v>
      </c>
      <c r="X998">
        <v>0</v>
      </c>
      <c r="Y998">
        <v>3233151</v>
      </c>
      <c r="Z998">
        <v>3234729</v>
      </c>
      <c r="AA998">
        <f t="shared" si="31"/>
        <v>-20</v>
      </c>
      <c r="AB998">
        <f t="shared" si="30"/>
        <v>-5.245516394861492E-3</v>
      </c>
    </row>
    <row r="999" spans="1:28">
      <c r="A999" t="s">
        <v>36</v>
      </c>
      <c r="B999" s="2">
        <v>45809</v>
      </c>
      <c r="C999" s="2">
        <v>45778</v>
      </c>
      <c r="D999" s="2">
        <v>45867</v>
      </c>
      <c r="E999">
        <v>12291247</v>
      </c>
      <c r="F999">
        <v>12435557</v>
      </c>
      <c r="G999">
        <v>144310</v>
      </c>
      <c r="H999">
        <v>80.290000000000006</v>
      </c>
      <c r="I999">
        <v>70000</v>
      </c>
      <c r="J999" t="s">
        <v>29</v>
      </c>
      <c r="K999">
        <v>3.38</v>
      </c>
      <c r="L999">
        <v>3.45</v>
      </c>
      <c r="M999">
        <v>6226341</v>
      </c>
      <c r="N999">
        <v>6315109</v>
      </c>
      <c r="O999">
        <v>0</v>
      </c>
      <c r="P999">
        <v>0</v>
      </c>
      <c r="Q999">
        <v>262255</v>
      </c>
      <c r="R999">
        <v>259065</v>
      </c>
      <c r="S999">
        <v>862849</v>
      </c>
      <c r="T999">
        <v>861736</v>
      </c>
      <c r="U999">
        <v>0</v>
      </c>
      <c r="V999">
        <v>0</v>
      </c>
      <c r="W999">
        <v>0</v>
      </c>
      <c r="X999">
        <v>0</v>
      </c>
      <c r="Y999">
        <v>4939802</v>
      </c>
      <c r="Z999">
        <v>4999647</v>
      </c>
      <c r="AA999">
        <f t="shared" si="31"/>
        <v>-3190</v>
      </c>
      <c r="AB999">
        <f t="shared" si="30"/>
        <v>-1.2163733770566814</v>
      </c>
    </row>
    <row r="1000" spans="1:28">
      <c r="A1000" t="s">
        <v>37</v>
      </c>
      <c r="B1000" s="2">
        <v>45809</v>
      </c>
      <c r="C1000" s="2">
        <v>45778</v>
      </c>
      <c r="D1000" s="2">
        <v>45867</v>
      </c>
      <c r="E1000">
        <v>68704099</v>
      </c>
      <c r="F1000">
        <v>68970267</v>
      </c>
      <c r="G1000">
        <v>266168</v>
      </c>
      <c r="H1000">
        <v>73.09</v>
      </c>
      <c r="I1000">
        <v>590000</v>
      </c>
      <c r="J1000" t="s">
        <v>29</v>
      </c>
      <c r="K1000">
        <v>74.69</v>
      </c>
      <c r="L1000">
        <v>75.28</v>
      </c>
      <c r="M1000">
        <v>32353587</v>
      </c>
      <c r="N1000">
        <v>32449731</v>
      </c>
      <c r="O1000">
        <v>404</v>
      </c>
      <c r="P1000">
        <v>402</v>
      </c>
      <c r="Q1000">
        <v>6727033</v>
      </c>
      <c r="R1000">
        <v>6851977</v>
      </c>
      <c r="S1000">
        <v>4563424</v>
      </c>
      <c r="T1000">
        <v>4505756</v>
      </c>
      <c r="U1000">
        <v>0</v>
      </c>
      <c r="V1000">
        <v>0</v>
      </c>
      <c r="W1000">
        <v>0</v>
      </c>
      <c r="X1000">
        <v>0</v>
      </c>
      <c r="Y1000">
        <v>25059651</v>
      </c>
      <c r="Z1000">
        <v>25162401</v>
      </c>
      <c r="AA1000">
        <f t="shared" si="31"/>
        <v>124944</v>
      </c>
      <c r="AB1000">
        <f t="shared" si="30"/>
        <v>1.8573418623039308</v>
      </c>
    </row>
    <row r="1001" spans="1:28">
      <c r="A1001" t="s">
        <v>38</v>
      </c>
      <c r="B1001" s="2">
        <v>45809</v>
      </c>
      <c r="C1001" s="2">
        <v>45778</v>
      </c>
      <c r="D1001" s="2">
        <v>45867</v>
      </c>
      <c r="E1001">
        <v>41465706</v>
      </c>
      <c r="F1001">
        <v>41527176</v>
      </c>
      <c r="G1001">
        <v>61470</v>
      </c>
      <c r="H1001">
        <v>93.16</v>
      </c>
      <c r="I1001">
        <v>270000</v>
      </c>
      <c r="J1001" t="s">
        <v>29</v>
      </c>
      <c r="K1001">
        <v>26.84</v>
      </c>
      <c r="L1001">
        <v>27.11</v>
      </c>
      <c r="M1001">
        <v>9053445</v>
      </c>
      <c r="N1001">
        <v>9103787</v>
      </c>
      <c r="O1001">
        <v>0</v>
      </c>
      <c r="P1001">
        <v>0</v>
      </c>
      <c r="Q1001">
        <v>12858619</v>
      </c>
      <c r="R1001">
        <v>12845818</v>
      </c>
      <c r="S1001">
        <v>8768554</v>
      </c>
      <c r="T1001">
        <v>8774237</v>
      </c>
      <c r="U1001">
        <v>0</v>
      </c>
      <c r="V1001">
        <v>0</v>
      </c>
      <c r="W1001">
        <v>0</v>
      </c>
      <c r="X1001">
        <v>0</v>
      </c>
      <c r="Y1001">
        <v>10785088</v>
      </c>
      <c r="Z1001">
        <v>10803334</v>
      </c>
      <c r="AA1001">
        <f t="shared" si="31"/>
        <v>-12801</v>
      </c>
      <c r="AB1001">
        <f t="shared" si="30"/>
        <v>-9.9551903668659916E-2</v>
      </c>
    </row>
    <row r="1002" spans="1:28">
      <c r="A1002" t="s">
        <v>39</v>
      </c>
      <c r="B1002" s="2">
        <v>45809</v>
      </c>
      <c r="C1002" s="2">
        <v>45778</v>
      </c>
      <c r="D1002" s="2">
        <v>45867</v>
      </c>
      <c r="E1002">
        <v>22413689</v>
      </c>
      <c r="F1002">
        <v>22296527</v>
      </c>
      <c r="G1002">
        <v>-117162</v>
      </c>
      <c r="H1002">
        <v>87.02</v>
      </c>
      <c r="I1002">
        <v>180000</v>
      </c>
      <c r="J1002" t="s">
        <v>29</v>
      </c>
      <c r="K1002">
        <v>20.55</v>
      </c>
      <c r="L1002">
        <v>20.73</v>
      </c>
      <c r="M1002">
        <v>5388945</v>
      </c>
      <c r="N1002">
        <v>5374126</v>
      </c>
      <c r="O1002">
        <v>0</v>
      </c>
      <c r="P1002">
        <v>0</v>
      </c>
      <c r="Q1002">
        <v>4768376</v>
      </c>
      <c r="R1002">
        <v>4754217</v>
      </c>
      <c r="S1002">
        <v>1454009</v>
      </c>
      <c r="T1002">
        <v>1373028</v>
      </c>
      <c r="U1002">
        <v>0</v>
      </c>
      <c r="V1002">
        <v>0</v>
      </c>
      <c r="W1002">
        <v>0</v>
      </c>
      <c r="X1002">
        <v>0</v>
      </c>
      <c r="Y1002">
        <v>10802359</v>
      </c>
      <c r="Z1002">
        <v>10795156</v>
      </c>
      <c r="AA1002">
        <f t="shared" si="31"/>
        <v>-14159</v>
      </c>
      <c r="AB1002">
        <f t="shared" si="30"/>
        <v>-0.29693547656476754</v>
      </c>
    </row>
    <row r="1003" spans="1:28">
      <c r="A1003" t="s">
        <v>40</v>
      </c>
      <c r="B1003" s="2">
        <v>45809</v>
      </c>
      <c r="C1003" s="2">
        <v>45778</v>
      </c>
      <c r="D1003" s="2">
        <v>45867</v>
      </c>
      <c r="E1003">
        <v>81053813</v>
      </c>
      <c r="F1003">
        <v>81441648</v>
      </c>
      <c r="G1003">
        <v>387835</v>
      </c>
      <c r="H1003">
        <v>86.27</v>
      </c>
      <c r="I1003">
        <v>1280000</v>
      </c>
      <c r="J1003" t="s">
        <v>29</v>
      </c>
      <c r="K1003">
        <v>90.83</v>
      </c>
      <c r="L1003">
        <v>92.11</v>
      </c>
      <c r="M1003">
        <v>16640450</v>
      </c>
      <c r="N1003">
        <v>16695435</v>
      </c>
      <c r="O1003">
        <v>0</v>
      </c>
      <c r="P1003">
        <v>0</v>
      </c>
      <c r="Q1003">
        <v>13333801</v>
      </c>
      <c r="R1003">
        <v>13277301</v>
      </c>
      <c r="S1003">
        <v>5092733</v>
      </c>
      <c r="T1003">
        <v>5056025</v>
      </c>
      <c r="U1003">
        <v>0</v>
      </c>
      <c r="V1003">
        <v>0</v>
      </c>
      <c r="W1003">
        <v>0</v>
      </c>
      <c r="X1003">
        <v>0</v>
      </c>
      <c r="Y1003">
        <v>45986829</v>
      </c>
      <c r="Z1003">
        <v>46412887</v>
      </c>
      <c r="AA1003">
        <f t="shared" si="31"/>
        <v>-56500</v>
      </c>
      <c r="AB1003">
        <f t="shared" si="30"/>
        <v>-0.42373513749005248</v>
      </c>
    </row>
    <row r="1004" spans="1:28">
      <c r="A1004" t="s">
        <v>41</v>
      </c>
      <c r="B1004" s="2">
        <v>45809</v>
      </c>
      <c r="C1004" s="2">
        <v>45778</v>
      </c>
      <c r="D1004" s="2">
        <v>45867</v>
      </c>
      <c r="E1004">
        <v>91012113</v>
      </c>
      <c r="F1004">
        <v>91200470</v>
      </c>
      <c r="G1004">
        <v>188357</v>
      </c>
      <c r="H1004">
        <v>91.89</v>
      </c>
      <c r="I1004">
        <v>940000</v>
      </c>
      <c r="J1004" t="s">
        <v>29</v>
      </c>
      <c r="K1004">
        <v>92.72</v>
      </c>
      <c r="L1004">
        <v>93.66</v>
      </c>
      <c r="M1004">
        <v>22643568</v>
      </c>
      <c r="N1004">
        <v>22744325</v>
      </c>
      <c r="O1004">
        <v>0</v>
      </c>
      <c r="P1004">
        <v>0</v>
      </c>
      <c r="Q1004">
        <v>20236102</v>
      </c>
      <c r="R1004">
        <v>20282509</v>
      </c>
      <c r="S1004">
        <v>5270399</v>
      </c>
      <c r="T1004">
        <v>5251965</v>
      </c>
      <c r="U1004">
        <v>0</v>
      </c>
      <c r="V1004">
        <v>0</v>
      </c>
      <c r="W1004">
        <v>0</v>
      </c>
      <c r="X1004">
        <v>0</v>
      </c>
      <c r="Y1004">
        <v>42862044</v>
      </c>
      <c r="Z1004">
        <v>42921671</v>
      </c>
      <c r="AA1004">
        <f t="shared" si="31"/>
        <v>46407</v>
      </c>
      <c r="AB1004">
        <f t="shared" si="30"/>
        <v>0.22932776282705039</v>
      </c>
    </row>
    <row r="1005" spans="1:28">
      <c r="A1005" t="s">
        <v>42</v>
      </c>
      <c r="B1005" s="2">
        <v>45809</v>
      </c>
      <c r="C1005" s="2">
        <v>45778</v>
      </c>
      <c r="D1005" s="2">
        <v>45867</v>
      </c>
      <c r="E1005">
        <v>33918295</v>
      </c>
      <c r="F1005">
        <v>33877045</v>
      </c>
      <c r="G1005">
        <v>-41250</v>
      </c>
      <c r="H1005">
        <v>69.33</v>
      </c>
      <c r="I1005">
        <v>230000</v>
      </c>
      <c r="J1005" t="s">
        <v>29</v>
      </c>
      <c r="K1005">
        <v>36.74</v>
      </c>
      <c r="L1005">
        <v>36.97</v>
      </c>
      <c r="M1005">
        <v>10098290</v>
      </c>
      <c r="N1005">
        <v>10080637</v>
      </c>
      <c r="O1005">
        <v>65</v>
      </c>
      <c r="P1005">
        <v>58</v>
      </c>
      <c r="Q1005">
        <v>10718766</v>
      </c>
      <c r="R1005">
        <v>10725076</v>
      </c>
      <c r="S1005">
        <v>0</v>
      </c>
      <c r="T1005">
        <v>0</v>
      </c>
      <c r="U1005">
        <v>0</v>
      </c>
      <c r="V1005">
        <v>0</v>
      </c>
      <c r="W1005">
        <v>139566</v>
      </c>
      <c r="X1005">
        <v>132334</v>
      </c>
      <c r="Y1005">
        <v>12961608</v>
      </c>
      <c r="Z1005">
        <v>12938940</v>
      </c>
      <c r="AA1005">
        <f t="shared" si="31"/>
        <v>6310</v>
      </c>
      <c r="AB1005">
        <f t="shared" si="30"/>
        <v>5.8868716790720123E-2</v>
      </c>
    </row>
    <row r="1006" spans="1:28">
      <c r="A1006" t="s">
        <v>43</v>
      </c>
      <c r="B1006" s="2">
        <v>45809</v>
      </c>
      <c r="C1006" s="2">
        <v>45778</v>
      </c>
      <c r="D1006" s="2">
        <v>45867</v>
      </c>
      <c r="E1006">
        <v>12725702</v>
      </c>
      <c r="F1006">
        <v>12728030</v>
      </c>
      <c r="G1006">
        <v>2328</v>
      </c>
      <c r="H1006">
        <v>96.46</v>
      </c>
      <c r="I1006">
        <v>30000</v>
      </c>
      <c r="J1006" t="s">
        <v>29</v>
      </c>
      <c r="K1006">
        <v>2.61</v>
      </c>
      <c r="L1006">
        <v>2.64</v>
      </c>
      <c r="M1006">
        <v>6453660</v>
      </c>
      <c r="N1006">
        <v>6457193</v>
      </c>
      <c r="O1006">
        <v>0</v>
      </c>
      <c r="P1006">
        <v>0</v>
      </c>
      <c r="Q1006">
        <v>624589</v>
      </c>
      <c r="R1006">
        <v>627363</v>
      </c>
      <c r="S1006">
        <v>1287918</v>
      </c>
      <c r="T1006">
        <v>1282201</v>
      </c>
      <c r="U1006">
        <v>0</v>
      </c>
      <c r="V1006">
        <v>0</v>
      </c>
      <c r="W1006">
        <v>0</v>
      </c>
      <c r="X1006">
        <v>0</v>
      </c>
      <c r="Y1006">
        <v>4359535</v>
      </c>
      <c r="Z1006">
        <v>4361273</v>
      </c>
      <c r="AA1006">
        <f t="shared" si="31"/>
        <v>2774</v>
      </c>
      <c r="AB1006">
        <f t="shared" si="30"/>
        <v>0.44413206124347371</v>
      </c>
    </row>
    <row r="1007" spans="1:28">
      <c r="A1007" t="s">
        <v>44</v>
      </c>
      <c r="B1007" s="2">
        <v>45809</v>
      </c>
      <c r="C1007" s="2">
        <v>45778</v>
      </c>
      <c r="D1007" s="2">
        <v>45867</v>
      </c>
      <c r="E1007">
        <v>35247996</v>
      </c>
      <c r="F1007">
        <v>35321236</v>
      </c>
      <c r="G1007">
        <v>73240</v>
      </c>
      <c r="H1007">
        <v>89.11</v>
      </c>
      <c r="I1007">
        <v>220000</v>
      </c>
      <c r="J1007" t="s">
        <v>29</v>
      </c>
      <c r="K1007">
        <v>19.93</v>
      </c>
      <c r="L1007">
        <v>20.149999999999999</v>
      </c>
      <c r="M1007">
        <v>12003744</v>
      </c>
      <c r="N1007">
        <v>11991403</v>
      </c>
      <c r="O1007">
        <v>0</v>
      </c>
      <c r="P1007">
        <v>0</v>
      </c>
      <c r="Q1007">
        <v>1423473</v>
      </c>
      <c r="R1007">
        <v>1428049</v>
      </c>
      <c r="S1007">
        <v>5556906</v>
      </c>
      <c r="T1007">
        <v>5540622</v>
      </c>
      <c r="U1007">
        <v>0</v>
      </c>
      <c r="V1007">
        <v>0</v>
      </c>
      <c r="W1007">
        <v>0</v>
      </c>
      <c r="X1007">
        <v>0</v>
      </c>
      <c r="Y1007">
        <v>16263873</v>
      </c>
      <c r="Z1007">
        <v>16361162</v>
      </c>
      <c r="AA1007">
        <f t="shared" si="31"/>
        <v>4576</v>
      </c>
      <c r="AB1007">
        <f t="shared" si="30"/>
        <v>0.32146728459198032</v>
      </c>
    </row>
    <row r="1008" spans="1:28">
      <c r="A1008" t="s">
        <v>45</v>
      </c>
      <c r="B1008" s="2">
        <v>45809</v>
      </c>
      <c r="C1008" s="2">
        <v>45778</v>
      </c>
      <c r="D1008" s="2">
        <v>45867</v>
      </c>
      <c r="E1008">
        <v>33950750</v>
      </c>
      <c r="F1008">
        <v>33899750</v>
      </c>
      <c r="G1008">
        <v>-51000</v>
      </c>
      <c r="H1008">
        <v>90.33</v>
      </c>
      <c r="I1008">
        <v>340000</v>
      </c>
      <c r="J1008" t="s">
        <v>29</v>
      </c>
      <c r="K1008">
        <v>37.08</v>
      </c>
      <c r="L1008">
        <v>37.42</v>
      </c>
      <c r="M1008">
        <v>12534759</v>
      </c>
      <c r="N1008">
        <v>12553073</v>
      </c>
      <c r="O1008">
        <v>7</v>
      </c>
      <c r="P1008">
        <v>7</v>
      </c>
      <c r="Q1008">
        <v>5940040</v>
      </c>
      <c r="R1008">
        <v>5888323</v>
      </c>
      <c r="S1008">
        <v>4075609</v>
      </c>
      <c r="T1008">
        <v>4072133</v>
      </c>
      <c r="U1008">
        <v>0</v>
      </c>
      <c r="V1008">
        <v>0</v>
      </c>
      <c r="W1008">
        <v>0</v>
      </c>
      <c r="X1008">
        <v>0</v>
      </c>
      <c r="Y1008">
        <v>11400335</v>
      </c>
      <c r="Z1008">
        <v>11386214</v>
      </c>
      <c r="AA1008">
        <f t="shared" si="31"/>
        <v>-51717</v>
      </c>
      <c r="AB1008">
        <f t="shared" si="30"/>
        <v>-0.87065070268887068</v>
      </c>
    </row>
    <row r="1009" spans="1:28">
      <c r="A1009" t="s">
        <v>46</v>
      </c>
      <c r="B1009" s="2">
        <v>45809</v>
      </c>
      <c r="C1009" s="2">
        <v>45778</v>
      </c>
      <c r="D1009" s="2">
        <v>45867</v>
      </c>
      <c r="E1009">
        <v>64718183</v>
      </c>
      <c r="F1009">
        <v>64832747</v>
      </c>
      <c r="G1009">
        <v>114564</v>
      </c>
      <c r="H1009">
        <v>88.46</v>
      </c>
      <c r="I1009">
        <v>730000</v>
      </c>
      <c r="J1009" t="s">
        <v>29</v>
      </c>
      <c r="K1009">
        <v>75.989999999999995</v>
      </c>
      <c r="L1009">
        <v>76.72</v>
      </c>
      <c r="M1009">
        <v>23389579</v>
      </c>
      <c r="N1009">
        <v>23414504</v>
      </c>
      <c r="O1009">
        <v>52</v>
      </c>
      <c r="P1009">
        <v>51</v>
      </c>
      <c r="Q1009">
        <v>9091447</v>
      </c>
      <c r="R1009">
        <v>8984641</v>
      </c>
      <c r="S1009">
        <v>5619511</v>
      </c>
      <c r="T1009">
        <v>5617556</v>
      </c>
      <c r="U1009">
        <v>0</v>
      </c>
      <c r="V1009">
        <v>0</v>
      </c>
      <c r="W1009">
        <v>0</v>
      </c>
      <c r="X1009">
        <v>0</v>
      </c>
      <c r="Y1009">
        <v>26617594</v>
      </c>
      <c r="Z1009">
        <v>26815995</v>
      </c>
      <c r="AA1009">
        <f t="shared" si="31"/>
        <v>-106806</v>
      </c>
      <c r="AB1009">
        <f t="shared" si="30"/>
        <v>-1.174796487291847</v>
      </c>
    </row>
    <row r="1010" spans="1:28">
      <c r="A1010" t="s">
        <v>47</v>
      </c>
      <c r="B1010" s="2">
        <v>45809</v>
      </c>
      <c r="C1010" s="2">
        <v>45778</v>
      </c>
      <c r="D1010" s="2">
        <v>45867</v>
      </c>
      <c r="E1010">
        <v>77486951</v>
      </c>
      <c r="F1010">
        <v>77522485</v>
      </c>
      <c r="G1010">
        <v>35534</v>
      </c>
      <c r="H1010">
        <v>79.98</v>
      </c>
      <c r="I1010">
        <v>600000</v>
      </c>
      <c r="J1010" t="s">
        <v>29</v>
      </c>
      <c r="K1010">
        <v>70.59</v>
      </c>
      <c r="L1010">
        <v>71.19</v>
      </c>
      <c r="M1010">
        <v>30397167</v>
      </c>
      <c r="N1010">
        <v>30506366</v>
      </c>
      <c r="O1010">
        <v>0</v>
      </c>
      <c r="P1010">
        <v>0</v>
      </c>
      <c r="Q1010">
        <v>14580242</v>
      </c>
      <c r="R1010">
        <v>14524173</v>
      </c>
      <c r="S1010">
        <v>7783965</v>
      </c>
      <c r="T1010">
        <v>7763268</v>
      </c>
      <c r="U1010">
        <v>0</v>
      </c>
      <c r="V1010">
        <v>0</v>
      </c>
      <c r="W1010">
        <v>0</v>
      </c>
      <c r="X1010">
        <v>0</v>
      </c>
      <c r="Y1010">
        <v>24725577</v>
      </c>
      <c r="Z1010">
        <v>24728678</v>
      </c>
      <c r="AA1010">
        <f t="shared" si="31"/>
        <v>-56069</v>
      </c>
      <c r="AB1010">
        <f t="shared" si="30"/>
        <v>-0.38455465965516894</v>
      </c>
    </row>
    <row r="1011" spans="1:28">
      <c r="A1011" t="s">
        <v>48</v>
      </c>
      <c r="B1011" s="2">
        <v>45809</v>
      </c>
      <c r="C1011" s="2">
        <v>45778</v>
      </c>
      <c r="D1011" s="2">
        <v>45867</v>
      </c>
      <c r="E1011">
        <v>102747406</v>
      </c>
      <c r="F1011">
        <v>102829629</v>
      </c>
      <c r="G1011">
        <v>82223</v>
      </c>
      <c r="H1011">
        <v>91.27</v>
      </c>
      <c r="I1011">
        <v>1860000</v>
      </c>
      <c r="J1011" t="s">
        <v>29</v>
      </c>
      <c r="K1011">
        <v>115.77</v>
      </c>
      <c r="L1011">
        <v>117.63</v>
      </c>
      <c r="M1011">
        <v>36260483</v>
      </c>
      <c r="N1011">
        <v>36142330</v>
      </c>
      <c r="O1011">
        <v>0</v>
      </c>
      <c r="P1011">
        <v>0</v>
      </c>
      <c r="Q1011">
        <v>16039247</v>
      </c>
      <c r="R1011">
        <v>16002747</v>
      </c>
      <c r="S1011">
        <v>8062697</v>
      </c>
      <c r="T1011">
        <v>8063891</v>
      </c>
      <c r="U1011">
        <v>0</v>
      </c>
      <c r="V1011">
        <v>0</v>
      </c>
      <c r="W1011">
        <v>0</v>
      </c>
      <c r="X1011">
        <v>0</v>
      </c>
      <c r="Y1011">
        <v>42384979</v>
      </c>
      <c r="Z1011">
        <v>42620661</v>
      </c>
      <c r="AA1011">
        <f t="shared" si="31"/>
        <v>-36500</v>
      </c>
      <c r="AB1011">
        <f t="shared" si="30"/>
        <v>-0.22756679287998993</v>
      </c>
    </row>
    <row r="1012" spans="1:28">
      <c r="A1012" t="s">
        <v>49</v>
      </c>
      <c r="B1012" s="2">
        <v>45809</v>
      </c>
      <c r="C1012" s="2">
        <v>45778</v>
      </c>
      <c r="D1012" s="2">
        <v>45867</v>
      </c>
      <c r="E1012">
        <v>62786343</v>
      </c>
      <c r="F1012">
        <v>62895682</v>
      </c>
      <c r="G1012">
        <v>109339</v>
      </c>
      <c r="H1012">
        <v>89.79</v>
      </c>
      <c r="I1012">
        <v>1350000</v>
      </c>
      <c r="J1012" t="s">
        <v>29</v>
      </c>
      <c r="K1012">
        <v>86.9</v>
      </c>
      <c r="L1012">
        <v>88.25</v>
      </c>
      <c r="M1012">
        <v>18796958</v>
      </c>
      <c r="N1012">
        <v>18790030</v>
      </c>
      <c r="O1012">
        <v>0</v>
      </c>
      <c r="P1012">
        <v>0</v>
      </c>
      <c r="Q1012">
        <v>14260491</v>
      </c>
      <c r="R1012">
        <v>14239513</v>
      </c>
      <c r="S1012">
        <v>4974408</v>
      </c>
      <c r="T1012">
        <v>4975788</v>
      </c>
      <c r="U1012">
        <v>0</v>
      </c>
      <c r="V1012">
        <v>0</v>
      </c>
      <c r="W1012">
        <v>0</v>
      </c>
      <c r="X1012">
        <v>0</v>
      </c>
      <c r="Y1012">
        <v>24754486</v>
      </c>
      <c r="Z1012">
        <v>24890351</v>
      </c>
      <c r="AA1012">
        <f t="shared" si="31"/>
        <v>-20978</v>
      </c>
      <c r="AB1012">
        <f t="shared" si="30"/>
        <v>-0.14710573429764795</v>
      </c>
    </row>
    <row r="1013" spans="1:28">
      <c r="A1013" t="s">
        <v>50</v>
      </c>
      <c r="B1013" s="2">
        <v>45809</v>
      </c>
      <c r="C1013" s="2">
        <v>45778</v>
      </c>
      <c r="D1013" s="2">
        <v>45867</v>
      </c>
      <c r="E1013">
        <v>57325214</v>
      </c>
      <c r="F1013">
        <v>57452341</v>
      </c>
      <c r="G1013">
        <v>127127</v>
      </c>
      <c r="H1013">
        <v>89.25</v>
      </c>
      <c r="I1013">
        <v>1080000</v>
      </c>
      <c r="J1013" t="s">
        <v>29</v>
      </c>
      <c r="K1013">
        <v>69.08</v>
      </c>
      <c r="L1013">
        <v>70.16</v>
      </c>
      <c r="M1013">
        <v>18442139</v>
      </c>
      <c r="N1013">
        <v>18490543</v>
      </c>
      <c r="O1013">
        <v>9</v>
      </c>
      <c r="P1013">
        <v>9</v>
      </c>
      <c r="Q1013">
        <v>11511218</v>
      </c>
      <c r="R1013">
        <v>11473984</v>
      </c>
      <c r="S1013">
        <v>2619945</v>
      </c>
      <c r="T1013">
        <v>2601347</v>
      </c>
      <c r="U1013">
        <v>0</v>
      </c>
      <c r="V1013">
        <v>0</v>
      </c>
      <c r="W1013">
        <v>0</v>
      </c>
      <c r="X1013">
        <v>0</v>
      </c>
      <c r="Y1013">
        <v>24751903</v>
      </c>
      <c r="Z1013">
        <v>24886458</v>
      </c>
      <c r="AA1013">
        <f t="shared" si="31"/>
        <v>-37234</v>
      </c>
      <c r="AB1013">
        <f t="shared" si="30"/>
        <v>-0.32345838641923036</v>
      </c>
    </row>
    <row r="1014" spans="1:28">
      <c r="A1014" t="s">
        <v>28</v>
      </c>
      <c r="B1014" s="2">
        <v>45839</v>
      </c>
      <c r="C1014" s="2">
        <v>45809</v>
      </c>
      <c r="D1014" s="2">
        <v>45898</v>
      </c>
      <c r="E1014">
        <v>82672369</v>
      </c>
      <c r="F1014">
        <v>82471906</v>
      </c>
      <c r="G1014">
        <v>-200463</v>
      </c>
      <c r="H1014">
        <v>92.54</v>
      </c>
      <c r="I1014">
        <v>690000</v>
      </c>
      <c r="J1014" t="s">
        <v>29</v>
      </c>
      <c r="K1014">
        <v>74.62</v>
      </c>
      <c r="L1014">
        <v>75.31</v>
      </c>
      <c r="M1014">
        <v>34242244</v>
      </c>
      <c r="N1014">
        <v>34321932</v>
      </c>
      <c r="O1014">
        <v>0</v>
      </c>
      <c r="P1014">
        <v>0</v>
      </c>
      <c r="Q1014">
        <v>9596019</v>
      </c>
      <c r="R1014">
        <v>9503297</v>
      </c>
      <c r="S1014">
        <v>6914850</v>
      </c>
      <c r="T1014">
        <v>6916286</v>
      </c>
      <c r="U1014">
        <v>0</v>
      </c>
      <c r="V1014">
        <v>0</v>
      </c>
      <c r="W1014">
        <v>0</v>
      </c>
      <c r="X1014">
        <v>0</v>
      </c>
      <c r="Y1014">
        <v>31919256</v>
      </c>
      <c r="Z1014">
        <v>31730391</v>
      </c>
      <c r="AA1014">
        <f t="shared" si="31"/>
        <v>-92722</v>
      </c>
      <c r="AB1014">
        <f t="shared" si="30"/>
        <v>-0.96625486047912157</v>
      </c>
    </row>
    <row r="1015" spans="1:28">
      <c r="A1015" t="s">
        <v>30</v>
      </c>
      <c r="B1015" s="2">
        <v>45839</v>
      </c>
      <c r="C1015" s="2">
        <v>45809</v>
      </c>
      <c r="D1015" s="2">
        <v>45898</v>
      </c>
      <c r="E1015">
        <v>26441948</v>
      </c>
      <c r="F1015">
        <v>26469688</v>
      </c>
      <c r="G1015">
        <v>27740</v>
      </c>
      <c r="H1015">
        <v>89.62</v>
      </c>
      <c r="I1015">
        <v>120000</v>
      </c>
      <c r="J1015" t="s">
        <v>29</v>
      </c>
      <c r="K1015">
        <v>8.5399999999999991</v>
      </c>
      <c r="L1015">
        <v>8.66</v>
      </c>
      <c r="M1015">
        <v>12307089</v>
      </c>
      <c r="N1015">
        <v>12351382</v>
      </c>
      <c r="O1015">
        <v>0</v>
      </c>
      <c r="P1015">
        <v>0</v>
      </c>
      <c r="Q1015">
        <v>1429694</v>
      </c>
      <c r="R1015">
        <v>1442516</v>
      </c>
      <c r="S1015">
        <v>2949537</v>
      </c>
      <c r="T1015">
        <v>2925869</v>
      </c>
      <c r="U1015">
        <v>0</v>
      </c>
      <c r="V1015">
        <v>0</v>
      </c>
      <c r="W1015">
        <v>0</v>
      </c>
      <c r="X1015">
        <v>0</v>
      </c>
      <c r="Y1015">
        <v>9755628</v>
      </c>
      <c r="Z1015">
        <v>9749921</v>
      </c>
      <c r="AA1015">
        <f t="shared" si="31"/>
        <v>12822</v>
      </c>
      <c r="AB1015">
        <f t="shared" si="30"/>
        <v>0.89683526684731141</v>
      </c>
    </row>
    <row r="1016" spans="1:28">
      <c r="A1016" t="s">
        <v>31</v>
      </c>
      <c r="B1016" s="2">
        <v>45839</v>
      </c>
      <c r="C1016" s="2">
        <v>45809</v>
      </c>
      <c r="D1016" s="2">
        <v>45898</v>
      </c>
      <c r="E1016">
        <v>97217833</v>
      </c>
      <c r="F1016">
        <v>96865810</v>
      </c>
      <c r="G1016">
        <v>-352023</v>
      </c>
      <c r="H1016">
        <v>82.4</v>
      </c>
      <c r="I1016">
        <v>1150000</v>
      </c>
      <c r="J1016" t="s">
        <v>29</v>
      </c>
      <c r="K1016">
        <v>68.209999999999994</v>
      </c>
      <c r="L1016">
        <v>69.36</v>
      </c>
      <c r="M1016">
        <v>40991403</v>
      </c>
      <c r="N1016">
        <v>40807978</v>
      </c>
      <c r="O1016">
        <v>0</v>
      </c>
      <c r="P1016">
        <v>0</v>
      </c>
      <c r="Q1016">
        <v>7858060</v>
      </c>
      <c r="R1016">
        <v>7949346</v>
      </c>
      <c r="S1016">
        <v>5685861</v>
      </c>
      <c r="T1016">
        <v>5648429</v>
      </c>
      <c r="U1016">
        <v>0</v>
      </c>
      <c r="V1016">
        <v>0</v>
      </c>
      <c r="W1016">
        <v>0</v>
      </c>
      <c r="X1016">
        <v>0</v>
      </c>
      <c r="Y1016">
        <v>42682509</v>
      </c>
      <c r="Z1016">
        <v>42460057</v>
      </c>
      <c r="AA1016">
        <f t="shared" si="31"/>
        <v>91286</v>
      </c>
      <c r="AB1016">
        <f t="shared" si="30"/>
        <v>1.1616862177178591</v>
      </c>
    </row>
    <row r="1017" spans="1:28">
      <c r="A1017" t="s">
        <v>32</v>
      </c>
      <c r="B1017" s="2">
        <v>45839</v>
      </c>
      <c r="C1017" s="2">
        <v>45809</v>
      </c>
      <c r="D1017" s="2">
        <v>45898</v>
      </c>
      <c r="E1017">
        <v>55802688</v>
      </c>
      <c r="F1017">
        <v>55923765</v>
      </c>
      <c r="G1017">
        <v>121077</v>
      </c>
      <c r="H1017">
        <v>52.71</v>
      </c>
      <c r="I1017">
        <v>710000</v>
      </c>
      <c r="J1017" t="s">
        <v>29</v>
      </c>
      <c r="K1017">
        <v>55.14</v>
      </c>
      <c r="L1017">
        <v>55.85</v>
      </c>
      <c r="M1017">
        <v>19006627</v>
      </c>
      <c r="N1017">
        <v>19071921</v>
      </c>
      <c r="O1017">
        <v>1</v>
      </c>
      <c r="P1017">
        <v>2</v>
      </c>
      <c r="Q1017">
        <v>16728046</v>
      </c>
      <c r="R1017">
        <v>16650505</v>
      </c>
      <c r="S1017">
        <v>0</v>
      </c>
      <c r="T1017">
        <v>0</v>
      </c>
      <c r="U1017">
        <v>0</v>
      </c>
      <c r="V1017">
        <v>0</v>
      </c>
      <c r="W1017">
        <v>174758</v>
      </c>
      <c r="X1017">
        <v>174277</v>
      </c>
      <c r="Y1017">
        <v>19893256</v>
      </c>
      <c r="Z1017">
        <v>20027060</v>
      </c>
      <c r="AA1017">
        <f t="shared" si="31"/>
        <v>-77541</v>
      </c>
      <c r="AB1017">
        <f t="shared" si="30"/>
        <v>-0.46353889748988014</v>
      </c>
    </row>
    <row r="1018" spans="1:28">
      <c r="A1018" t="s">
        <v>33</v>
      </c>
      <c r="B1018" s="2">
        <v>45839</v>
      </c>
      <c r="C1018" s="2">
        <v>45809</v>
      </c>
      <c r="D1018" s="2">
        <v>45898</v>
      </c>
      <c r="E1018">
        <v>66511110</v>
      </c>
      <c r="F1018">
        <v>66918815</v>
      </c>
      <c r="G1018">
        <v>407705</v>
      </c>
      <c r="H1018">
        <v>89.23</v>
      </c>
      <c r="I1018">
        <v>1160000</v>
      </c>
      <c r="J1018" t="s">
        <v>29</v>
      </c>
      <c r="K1018">
        <v>78.8</v>
      </c>
      <c r="L1018">
        <v>79.959999999999994</v>
      </c>
      <c r="M1018">
        <v>12420850</v>
      </c>
      <c r="N1018">
        <v>12555074</v>
      </c>
      <c r="O1018">
        <v>1</v>
      </c>
      <c r="P1018">
        <v>1</v>
      </c>
      <c r="Q1018">
        <v>19750613</v>
      </c>
      <c r="R1018">
        <v>19702070</v>
      </c>
      <c r="S1018">
        <v>3240893</v>
      </c>
      <c r="T1018">
        <v>3231672</v>
      </c>
      <c r="U1018">
        <v>0</v>
      </c>
      <c r="V1018">
        <v>0</v>
      </c>
      <c r="W1018">
        <v>0</v>
      </c>
      <c r="X1018">
        <v>0</v>
      </c>
      <c r="Y1018">
        <v>31098753</v>
      </c>
      <c r="Z1018">
        <v>31429998</v>
      </c>
      <c r="AA1018">
        <f t="shared" si="31"/>
        <v>-48543</v>
      </c>
      <c r="AB1018">
        <f t="shared" si="30"/>
        <v>-0.24577971326763376</v>
      </c>
    </row>
    <row r="1019" spans="1:28">
      <c r="A1019" t="s">
        <v>34</v>
      </c>
      <c r="B1019" s="2">
        <v>45839</v>
      </c>
      <c r="C1019" s="2">
        <v>45809</v>
      </c>
      <c r="D1019" s="2">
        <v>45898</v>
      </c>
      <c r="E1019">
        <v>26255296</v>
      </c>
      <c r="F1019">
        <v>26241260</v>
      </c>
      <c r="G1019">
        <v>-14036</v>
      </c>
      <c r="H1019">
        <v>91.6</v>
      </c>
      <c r="I1019">
        <v>450000</v>
      </c>
      <c r="J1019" t="s">
        <v>29</v>
      </c>
      <c r="K1019">
        <v>36.409999999999997</v>
      </c>
      <c r="L1019">
        <v>36.86</v>
      </c>
      <c r="M1019">
        <v>7337692</v>
      </c>
      <c r="N1019">
        <v>7346147</v>
      </c>
      <c r="O1019">
        <v>0</v>
      </c>
      <c r="P1019">
        <v>0</v>
      </c>
      <c r="Q1019">
        <v>6310748</v>
      </c>
      <c r="R1019">
        <v>6300847</v>
      </c>
      <c r="S1019">
        <v>4254279</v>
      </c>
      <c r="T1019">
        <v>4281565</v>
      </c>
      <c r="U1019">
        <v>0</v>
      </c>
      <c r="V1019">
        <v>0</v>
      </c>
      <c r="W1019">
        <v>0</v>
      </c>
      <c r="X1019">
        <v>0</v>
      </c>
      <c r="Y1019">
        <v>8352577</v>
      </c>
      <c r="Z1019">
        <v>8312701</v>
      </c>
      <c r="AA1019">
        <f t="shared" si="31"/>
        <v>-9901</v>
      </c>
      <c r="AB1019">
        <f t="shared" si="30"/>
        <v>-0.15689106901432284</v>
      </c>
    </row>
    <row r="1020" spans="1:28">
      <c r="A1020" t="s">
        <v>35</v>
      </c>
      <c r="B1020" s="2">
        <v>45839</v>
      </c>
      <c r="C1020" s="2">
        <v>45809</v>
      </c>
      <c r="D1020" s="2">
        <v>45898</v>
      </c>
      <c r="E1020">
        <v>8894559</v>
      </c>
      <c r="F1020">
        <v>8916268</v>
      </c>
      <c r="G1020">
        <v>21709</v>
      </c>
      <c r="H1020">
        <v>98.8</v>
      </c>
      <c r="I1020">
        <v>60000</v>
      </c>
      <c r="J1020" t="s">
        <v>29</v>
      </c>
      <c r="K1020">
        <v>4.83</v>
      </c>
      <c r="L1020">
        <v>4.8899999999999997</v>
      </c>
      <c r="M1020">
        <v>3599301</v>
      </c>
      <c r="N1020">
        <v>3608108</v>
      </c>
      <c r="O1020">
        <v>0</v>
      </c>
      <c r="P1020">
        <v>0</v>
      </c>
      <c r="Q1020">
        <v>381258</v>
      </c>
      <c r="R1020">
        <v>383681</v>
      </c>
      <c r="S1020">
        <v>1679271</v>
      </c>
      <c r="T1020">
        <v>1684645</v>
      </c>
      <c r="U1020">
        <v>0</v>
      </c>
      <c r="V1020">
        <v>0</v>
      </c>
      <c r="W1020">
        <v>0</v>
      </c>
      <c r="X1020">
        <v>0</v>
      </c>
      <c r="Y1020">
        <v>3234729</v>
      </c>
      <c r="Z1020">
        <v>3239834</v>
      </c>
      <c r="AA1020">
        <f t="shared" si="31"/>
        <v>2423</v>
      </c>
      <c r="AB1020">
        <f t="shared" si="30"/>
        <v>0.63552764794443661</v>
      </c>
    </row>
    <row r="1021" spans="1:28">
      <c r="A1021" t="s">
        <v>36</v>
      </c>
      <c r="B1021" s="2">
        <v>45839</v>
      </c>
      <c r="C1021" s="2">
        <v>45809</v>
      </c>
      <c r="D1021" s="2">
        <v>45898</v>
      </c>
      <c r="E1021">
        <v>12435557</v>
      </c>
      <c r="F1021">
        <v>12650549</v>
      </c>
      <c r="G1021">
        <v>214992</v>
      </c>
      <c r="H1021">
        <v>81.430000000000007</v>
      </c>
      <c r="I1021">
        <v>80000</v>
      </c>
      <c r="J1021" t="s">
        <v>29</v>
      </c>
      <c r="K1021">
        <v>3.45</v>
      </c>
      <c r="L1021">
        <v>3.53</v>
      </c>
      <c r="M1021">
        <v>6315109</v>
      </c>
      <c r="N1021">
        <v>6373463</v>
      </c>
      <c r="O1021">
        <v>0</v>
      </c>
      <c r="P1021">
        <v>0</v>
      </c>
      <c r="Q1021">
        <v>259065</v>
      </c>
      <c r="R1021">
        <v>254920</v>
      </c>
      <c r="S1021">
        <v>861736</v>
      </c>
      <c r="T1021">
        <v>863591</v>
      </c>
      <c r="U1021">
        <v>0</v>
      </c>
      <c r="V1021">
        <v>0</v>
      </c>
      <c r="W1021">
        <v>0</v>
      </c>
      <c r="X1021">
        <v>0</v>
      </c>
      <c r="Y1021">
        <v>4999647</v>
      </c>
      <c r="Z1021">
        <v>5158575</v>
      </c>
      <c r="AA1021">
        <f t="shared" si="31"/>
        <v>-4145</v>
      </c>
      <c r="AB1021">
        <f t="shared" si="30"/>
        <v>-1.5999845598594946</v>
      </c>
    </row>
    <row r="1022" spans="1:28">
      <c r="A1022" t="s">
        <v>37</v>
      </c>
      <c r="B1022" s="2">
        <v>45839</v>
      </c>
      <c r="C1022" s="2">
        <v>45809</v>
      </c>
      <c r="D1022" s="2">
        <v>45898</v>
      </c>
      <c r="E1022">
        <v>68970267</v>
      </c>
      <c r="F1022">
        <v>69114728</v>
      </c>
      <c r="G1022">
        <v>144461</v>
      </c>
      <c r="H1022">
        <v>73.31</v>
      </c>
      <c r="I1022">
        <v>630000</v>
      </c>
      <c r="J1022" t="s">
        <v>29</v>
      </c>
      <c r="K1022">
        <v>75.28</v>
      </c>
      <c r="L1022">
        <v>75.91</v>
      </c>
      <c r="M1022">
        <v>32449731</v>
      </c>
      <c r="N1022">
        <v>32466518</v>
      </c>
      <c r="O1022">
        <v>402</v>
      </c>
      <c r="P1022">
        <v>402</v>
      </c>
      <c r="Q1022">
        <v>6851977</v>
      </c>
      <c r="R1022">
        <v>6936855</v>
      </c>
      <c r="S1022">
        <v>4505756</v>
      </c>
      <c r="T1022">
        <v>4502365</v>
      </c>
      <c r="U1022">
        <v>0</v>
      </c>
      <c r="V1022">
        <v>0</v>
      </c>
      <c r="W1022">
        <v>0</v>
      </c>
      <c r="X1022">
        <v>0</v>
      </c>
      <c r="Y1022">
        <v>25162401</v>
      </c>
      <c r="Z1022">
        <v>25208588</v>
      </c>
      <c r="AA1022">
        <f t="shared" si="31"/>
        <v>84878</v>
      </c>
      <c r="AB1022">
        <f t="shared" si="30"/>
        <v>1.2387373746292494</v>
      </c>
    </row>
    <row r="1023" spans="1:28">
      <c r="A1023" t="s">
        <v>38</v>
      </c>
      <c r="B1023" s="2">
        <v>45839</v>
      </c>
      <c r="C1023" s="2">
        <v>45809</v>
      </c>
      <c r="D1023" s="2">
        <v>45898</v>
      </c>
      <c r="E1023">
        <v>41527176</v>
      </c>
      <c r="F1023">
        <v>41654078</v>
      </c>
      <c r="G1023">
        <v>126902</v>
      </c>
      <c r="H1023">
        <v>93.45</v>
      </c>
      <c r="I1023">
        <v>300000</v>
      </c>
      <c r="J1023" t="s">
        <v>29</v>
      </c>
      <c r="K1023">
        <v>27.11</v>
      </c>
      <c r="L1023">
        <v>27.41</v>
      </c>
      <c r="M1023">
        <v>9103787</v>
      </c>
      <c r="N1023">
        <v>9177773</v>
      </c>
      <c r="O1023">
        <v>0</v>
      </c>
      <c r="P1023">
        <v>4</v>
      </c>
      <c r="Q1023">
        <v>12845818</v>
      </c>
      <c r="R1023">
        <v>12828062</v>
      </c>
      <c r="S1023">
        <v>8774237</v>
      </c>
      <c r="T1023">
        <v>8789243</v>
      </c>
      <c r="U1023">
        <v>0</v>
      </c>
      <c r="V1023">
        <v>0</v>
      </c>
      <c r="W1023">
        <v>0</v>
      </c>
      <c r="X1023">
        <v>0</v>
      </c>
      <c r="Y1023">
        <v>10803334</v>
      </c>
      <c r="Z1023">
        <v>10858996</v>
      </c>
      <c r="AA1023">
        <f t="shared" si="31"/>
        <v>-17756</v>
      </c>
      <c r="AB1023">
        <f t="shared" si="30"/>
        <v>-0.1382239729692574</v>
      </c>
    </row>
    <row r="1024" spans="1:28">
      <c r="A1024" t="s">
        <v>39</v>
      </c>
      <c r="B1024" s="2">
        <v>45839</v>
      </c>
      <c r="C1024" s="2">
        <v>45809</v>
      </c>
      <c r="D1024" s="2">
        <v>45898</v>
      </c>
      <c r="E1024">
        <v>22296527</v>
      </c>
      <c r="F1024">
        <v>22332303</v>
      </c>
      <c r="G1024">
        <v>35776</v>
      </c>
      <c r="H1024">
        <v>87.02</v>
      </c>
      <c r="I1024">
        <v>200000</v>
      </c>
      <c r="J1024" t="s">
        <v>29</v>
      </c>
      <c r="K1024">
        <v>20.73</v>
      </c>
      <c r="L1024">
        <v>20.93</v>
      </c>
      <c r="M1024">
        <v>5374126</v>
      </c>
      <c r="N1024">
        <v>5319701</v>
      </c>
      <c r="O1024">
        <v>0</v>
      </c>
      <c r="P1024">
        <v>0</v>
      </c>
      <c r="Q1024">
        <v>4754217</v>
      </c>
      <c r="R1024">
        <v>4774683</v>
      </c>
      <c r="S1024">
        <v>1373028</v>
      </c>
      <c r="T1024">
        <v>1365363</v>
      </c>
      <c r="U1024">
        <v>0</v>
      </c>
      <c r="V1024">
        <v>0</v>
      </c>
      <c r="W1024">
        <v>0</v>
      </c>
      <c r="X1024">
        <v>0</v>
      </c>
      <c r="Y1024">
        <v>10795156</v>
      </c>
      <c r="Z1024">
        <v>10872556</v>
      </c>
      <c r="AA1024">
        <f t="shared" si="31"/>
        <v>20466</v>
      </c>
      <c r="AB1024">
        <f t="shared" si="30"/>
        <v>0.43048098141081903</v>
      </c>
    </row>
    <row r="1025" spans="1:28">
      <c r="A1025" t="s">
        <v>40</v>
      </c>
      <c r="B1025" s="2">
        <v>45839</v>
      </c>
      <c r="C1025" s="2">
        <v>45809</v>
      </c>
      <c r="D1025" s="2">
        <v>45898</v>
      </c>
      <c r="E1025">
        <v>81441648</v>
      </c>
      <c r="F1025">
        <v>81578755</v>
      </c>
      <c r="G1025">
        <v>137107</v>
      </c>
      <c r="H1025">
        <v>85.66</v>
      </c>
      <c r="I1025">
        <v>1470000</v>
      </c>
      <c r="J1025" t="s">
        <v>29</v>
      </c>
      <c r="K1025">
        <v>92.11</v>
      </c>
      <c r="L1025">
        <v>93.58</v>
      </c>
      <c r="M1025">
        <v>16695435</v>
      </c>
      <c r="N1025">
        <v>16736923</v>
      </c>
      <c r="O1025">
        <v>0</v>
      </c>
      <c r="P1025">
        <v>0</v>
      </c>
      <c r="Q1025">
        <v>13277301</v>
      </c>
      <c r="R1025">
        <v>13253296</v>
      </c>
      <c r="S1025">
        <v>5056025</v>
      </c>
      <c r="T1025">
        <v>5034420</v>
      </c>
      <c r="U1025">
        <v>0</v>
      </c>
      <c r="V1025">
        <v>0</v>
      </c>
      <c r="W1025">
        <v>0</v>
      </c>
      <c r="X1025">
        <v>0</v>
      </c>
      <c r="Y1025">
        <v>46412887</v>
      </c>
      <c r="Z1025">
        <v>46554116</v>
      </c>
      <c r="AA1025">
        <f t="shared" si="31"/>
        <v>-24005</v>
      </c>
      <c r="AB1025">
        <f t="shared" si="30"/>
        <v>-0.18079728703898479</v>
      </c>
    </row>
    <row r="1026" spans="1:28">
      <c r="A1026" t="s">
        <v>41</v>
      </c>
      <c r="B1026" s="2">
        <v>45839</v>
      </c>
      <c r="C1026" s="2">
        <v>45809</v>
      </c>
      <c r="D1026" s="2">
        <v>45898</v>
      </c>
      <c r="E1026">
        <v>91200470</v>
      </c>
      <c r="F1026">
        <v>91110822</v>
      </c>
      <c r="G1026">
        <v>-89648</v>
      </c>
      <c r="H1026">
        <v>92.76</v>
      </c>
      <c r="I1026">
        <v>1120000</v>
      </c>
      <c r="J1026" t="s">
        <v>29</v>
      </c>
      <c r="K1026">
        <v>93.66</v>
      </c>
      <c r="L1026">
        <v>94.78</v>
      </c>
      <c r="M1026">
        <v>22744325</v>
      </c>
      <c r="N1026">
        <v>22837997</v>
      </c>
      <c r="O1026">
        <v>0</v>
      </c>
      <c r="P1026">
        <v>0</v>
      </c>
      <c r="Q1026">
        <v>20282509</v>
      </c>
      <c r="R1026">
        <v>20296273</v>
      </c>
      <c r="S1026">
        <v>5251965</v>
      </c>
      <c r="T1026">
        <v>5221931</v>
      </c>
      <c r="U1026">
        <v>0</v>
      </c>
      <c r="V1026">
        <v>0</v>
      </c>
      <c r="W1026">
        <v>0</v>
      </c>
      <c r="X1026">
        <v>0</v>
      </c>
      <c r="Y1026">
        <v>42921671</v>
      </c>
      <c r="Z1026">
        <v>42754621</v>
      </c>
      <c r="AA1026">
        <f t="shared" si="31"/>
        <v>13764</v>
      </c>
      <c r="AB1026">
        <f t="shared" si="30"/>
        <v>6.786142680868526E-2</v>
      </c>
    </row>
    <row r="1027" spans="1:28">
      <c r="A1027" t="s">
        <v>42</v>
      </c>
      <c r="B1027" s="2">
        <v>45839</v>
      </c>
      <c r="C1027" s="2">
        <v>45809</v>
      </c>
      <c r="D1027" s="2">
        <v>45898</v>
      </c>
      <c r="E1027">
        <v>33877045</v>
      </c>
      <c r="F1027">
        <v>33959804</v>
      </c>
      <c r="G1027">
        <v>82759</v>
      </c>
      <c r="H1027">
        <v>70.989999999999995</v>
      </c>
      <c r="I1027">
        <v>290000</v>
      </c>
      <c r="J1027" t="s">
        <v>29</v>
      </c>
      <c r="K1027">
        <v>36.97</v>
      </c>
      <c r="L1027">
        <v>37.26</v>
      </c>
      <c r="M1027">
        <v>10080637</v>
      </c>
      <c r="N1027">
        <v>10087725</v>
      </c>
      <c r="O1027">
        <v>58</v>
      </c>
      <c r="P1027">
        <v>58</v>
      </c>
      <c r="Q1027">
        <v>10725076</v>
      </c>
      <c r="R1027">
        <v>10707338</v>
      </c>
      <c r="S1027">
        <v>0</v>
      </c>
      <c r="T1027">
        <v>0</v>
      </c>
      <c r="U1027">
        <v>0</v>
      </c>
      <c r="V1027">
        <v>0</v>
      </c>
      <c r="W1027">
        <v>132334</v>
      </c>
      <c r="X1027">
        <v>130343</v>
      </c>
      <c r="Y1027">
        <v>12938940</v>
      </c>
      <c r="Z1027">
        <v>13034340</v>
      </c>
      <c r="AA1027">
        <f t="shared" si="31"/>
        <v>-17738</v>
      </c>
      <c r="AB1027">
        <f t="shared" ref="AB1027:AB1090" si="32">(($R1027-$Q1027)/$Q1027)*100</f>
        <v>-0.16538810540829735</v>
      </c>
    </row>
    <row r="1028" spans="1:28">
      <c r="A1028" t="s">
        <v>43</v>
      </c>
      <c r="B1028" s="2">
        <v>45839</v>
      </c>
      <c r="C1028" s="2">
        <v>45809</v>
      </c>
      <c r="D1028" s="2">
        <v>45898</v>
      </c>
      <c r="E1028">
        <v>12728030</v>
      </c>
      <c r="F1028">
        <v>12759229</v>
      </c>
      <c r="G1028">
        <v>31199</v>
      </c>
      <c r="H1028">
        <v>95.72</v>
      </c>
      <c r="I1028">
        <v>40000</v>
      </c>
      <c r="J1028" t="s">
        <v>29</v>
      </c>
      <c r="K1028">
        <v>2.64</v>
      </c>
      <c r="L1028">
        <v>2.68</v>
      </c>
      <c r="M1028">
        <v>6457193</v>
      </c>
      <c r="N1028">
        <v>6459452</v>
      </c>
      <c r="O1028">
        <v>0</v>
      </c>
      <c r="P1028">
        <v>0</v>
      </c>
      <c r="Q1028">
        <v>627363</v>
      </c>
      <c r="R1028">
        <v>625765</v>
      </c>
      <c r="S1028">
        <v>1282201</v>
      </c>
      <c r="T1028">
        <v>1276976</v>
      </c>
      <c r="U1028">
        <v>0</v>
      </c>
      <c r="V1028">
        <v>0</v>
      </c>
      <c r="W1028">
        <v>0</v>
      </c>
      <c r="X1028">
        <v>0</v>
      </c>
      <c r="Y1028">
        <v>4361273</v>
      </c>
      <c r="Z1028">
        <v>4397036</v>
      </c>
      <c r="AA1028">
        <f t="shared" ref="AA1028:AA1091" si="33">$R1028-$Q1028</f>
        <v>-1598</v>
      </c>
      <c r="AB1028">
        <f t="shared" si="32"/>
        <v>-0.2547169660945896</v>
      </c>
    </row>
    <row r="1029" spans="1:28">
      <c r="A1029" t="s">
        <v>44</v>
      </c>
      <c r="B1029" s="2">
        <v>45839</v>
      </c>
      <c r="C1029" s="2">
        <v>45809</v>
      </c>
      <c r="D1029" s="2">
        <v>45898</v>
      </c>
      <c r="E1029">
        <v>35321236</v>
      </c>
      <c r="F1029">
        <v>35387328</v>
      </c>
      <c r="G1029">
        <v>66092</v>
      </c>
      <c r="H1029">
        <v>88.05</v>
      </c>
      <c r="I1029">
        <v>240000</v>
      </c>
      <c r="J1029" t="s">
        <v>29</v>
      </c>
      <c r="K1029">
        <v>20.149999999999999</v>
      </c>
      <c r="L1029">
        <v>20.39</v>
      </c>
      <c r="M1029">
        <v>11991403</v>
      </c>
      <c r="N1029">
        <v>11982404</v>
      </c>
      <c r="O1029">
        <v>0</v>
      </c>
      <c r="P1029">
        <v>0</v>
      </c>
      <c r="Q1029">
        <v>1428049</v>
      </c>
      <c r="R1029">
        <v>1454416</v>
      </c>
      <c r="S1029">
        <v>5540622</v>
      </c>
      <c r="T1029">
        <v>5529977</v>
      </c>
      <c r="U1029">
        <v>0</v>
      </c>
      <c r="V1029">
        <v>0</v>
      </c>
      <c r="W1029">
        <v>0</v>
      </c>
      <c r="X1029">
        <v>0</v>
      </c>
      <c r="Y1029">
        <v>16361162</v>
      </c>
      <c r="Z1029">
        <v>16420531</v>
      </c>
      <c r="AA1029">
        <f t="shared" si="33"/>
        <v>26367</v>
      </c>
      <c r="AB1029">
        <f t="shared" si="32"/>
        <v>1.8463652157594033</v>
      </c>
    </row>
    <row r="1030" spans="1:28">
      <c r="A1030" t="s">
        <v>45</v>
      </c>
      <c r="B1030" s="2">
        <v>45839</v>
      </c>
      <c r="C1030" s="2">
        <v>45809</v>
      </c>
      <c r="D1030" s="2">
        <v>45898</v>
      </c>
      <c r="E1030">
        <v>33899750</v>
      </c>
      <c r="F1030">
        <v>33815055</v>
      </c>
      <c r="G1030">
        <v>-84695</v>
      </c>
      <c r="H1030">
        <v>90.83</v>
      </c>
      <c r="I1030">
        <v>390000</v>
      </c>
      <c r="J1030" t="s">
        <v>29</v>
      </c>
      <c r="K1030">
        <v>37.42</v>
      </c>
      <c r="L1030">
        <v>37.81</v>
      </c>
      <c r="M1030">
        <v>12553073</v>
      </c>
      <c r="N1030">
        <v>12530737</v>
      </c>
      <c r="O1030">
        <v>7</v>
      </c>
      <c r="P1030">
        <v>7</v>
      </c>
      <c r="Q1030">
        <v>5888323</v>
      </c>
      <c r="R1030">
        <v>5860493</v>
      </c>
      <c r="S1030">
        <v>4072133</v>
      </c>
      <c r="T1030">
        <v>4052811</v>
      </c>
      <c r="U1030">
        <v>0</v>
      </c>
      <c r="V1030">
        <v>0</v>
      </c>
      <c r="W1030">
        <v>0</v>
      </c>
      <c r="X1030">
        <v>0</v>
      </c>
      <c r="Y1030">
        <v>11386214</v>
      </c>
      <c r="Z1030">
        <v>11371007</v>
      </c>
      <c r="AA1030">
        <f t="shared" si="33"/>
        <v>-27830</v>
      </c>
      <c r="AB1030">
        <f t="shared" si="32"/>
        <v>-0.47263032275912853</v>
      </c>
    </row>
    <row r="1031" spans="1:28">
      <c r="A1031" t="s">
        <v>46</v>
      </c>
      <c r="B1031" s="2">
        <v>45839</v>
      </c>
      <c r="C1031" s="2">
        <v>45809</v>
      </c>
      <c r="D1031" s="2">
        <v>45898</v>
      </c>
      <c r="E1031">
        <v>64832747</v>
      </c>
      <c r="F1031">
        <v>64663517</v>
      </c>
      <c r="G1031">
        <v>-169230</v>
      </c>
      <c r="H1031">
        <v>88.6</v>
      </c>
      <c r="I1031">
        <v>860000</v>
      </c>
      <c r="J1031" t="s">
        <v>29</v>
      </c>
      <c r="K1031">
        <v>76.72</v>
      </c>
      <c r="L1031">
        <v>77.58</v>
      </c>
      <c r="M1031">
        <v>23414504</v>
      </c>
      <c r="N1031">
        <v>23418747</v>
      </c>
      <c r="O1031">
        <v>51</v>
      </c>
      <c r="P1031">
        <v>50</v>
      </c>
      <c r="Q1031">
        <v>8984641</v>
      </c>
      <c r="R1031">
        <v>8886044</v>
      </c>
      <c r="S1031">
        <v>5617556</v>
      </c>
      <c r="T1031">
        <v>5624794</v>
      </c>
      <c r="U1031">
        <v>0</v>
      </c>
      <c r="V1031">
        <v>0</v>
      </c>
      <c r="W1031">
        <v>0</v>
      </c>
      <c r="X1031">
        <v>0</v>
      </c>
      <c r="Y1031">
        <v>26815995</v>
      </c>
      <c r="Z1031">
        <v>26733882</v>
      </c>
      <c r="AA1031">
        <f t="shared" si="33"/>
        <v>-98597</v>
      </c>
      <c r="AB1031">
        <f t="shared" si="32"/>
        <v>-1.0973949877351805</v>
      </c>
    </row>
    <row r="1032" spans="1:28">
      <c r="A1032" t="s">
        <v>47</v>
      </c>
      <c r="B1032" s="2">
        <v>45839</v>
      </c>
      <c r="C1032" s="2">
        <v>45809</v>
      </c>
      <c r="D1032" s="2">
        <v>45898</v>
      </c>
      <c r="E1032">
        <v>77522485</v>
      </c>
      <c r="F1032">
        <v>77535215</v>
      </c>
      <c r="G1032">
        <v>12730</v>
      </c>
      <c r="H1032">
        <v>79.989999999999995</v>
      </c>
      <c r="I1032">
        <v>640000</v>
      </c>
      <c r="J1032" t="s">
        <v>29</v>
      </c>
      <c r="K1032">
        <v>71.19</v>
      </c>
      <c r="L1032">
        <v>71.83</v>
      </c>
      <c r="M1032">
        <v>30506366</v>
      </c>
      <c r="N1032">
        <v>30671841</v>
      </c>
      <c r="O1032">
        <v>0</v>
      </c>
      <c r="P1032">
        <v>0</v>
      </c>
      <c r="Q1032">
        <v>14524173</v>
      </c>
      <c r="R1032">
        <v>14502108</v>
      </c>
      <c r="S1032">
        <v>7763268</v>
      </c>
      <c r="T1032">
        <v>7786672</v>
      </c>
      <c r="U1032">
        <v>0</v>
      </c>
      <c r="V1032">
        <v>0</v>
      </c>
      <c r="W1032">
        <v>0</v>
      </c>
      <c r="X1032">
        <v>0</v>
      </c>
      <c r="Y1032">
        <v>24728678</v>
      </c>
      <c r="Z1032">
        <v>24574594</v>
      </c>
      <c r="AA1032">
        <f t="shared" si="33"/>
        <v>-22065</v>
      </c>
      <c r="AB1032">
        <f t="shared" si="32"/>
        <v>-0.15191914885618615</v>
      </c>
    </row>
    <row r="1033" spans="1:28">
      <c r="A1033" t="s">
        <v>48</v>
      </c>
      <c r="B1033" s="2">
        <v>45839</v>
      </c>
      <c r="C1033" s="2">
        <v>45809</v>
      </c>
      <c r="D1033" s="2">
        <v>45898</v>
      </c>
      <c r="E1033">
        <v>102829629</v>
      </c>
      <c r="F1033">
        <v>102804215</v>
      </c>
      <c r="G1033">
        <v>-25414</v>
      </c>
      <c r="H1033">
        <v>88.09</v>
      </c>
      <c r="I1033">
        <v>2130000</v>
      </c>
      <c r="J1033" t="s">
        <v>29</v>
      </c>
      <c r="K1033">
        <v>117.63</v>
      </c>
      <c r="L1033">
        <v>119.76</v>
      </c>
      <c r="M1033">
        <v>36142330</v>
      </c>
      <c r="N1033">
        <v>36081574</v>
      </c>
      <c r="O1033">
        <v>0</v>
      </c>
      <c r="P1033">
        <v>0</v>
      </c>
      <c r="Q1033">
        <v>16002747</v>
      </c>
      <c r="R1033">
        <v>15968617</v>
      </c>
      <c r="S1033">
        <v>8063891</v>
      </c>
      <c r="T1033">
        <v>8069909</v>
      </c>
      <c r="U1033">
        <v>0</v>
      </c>
      <c r="V1033">
        <v>0</v>
      </c>
      <c r="W1033">
        <v>0</v>
      </c>
      <c r="X1033">
        <v>0</v>
      </c>
      <c r="Y1033">
        <v>42620661</v>
      </c>
      <c r="Z1033">
        <v>42684115</v>
      </c>
      <c r="AA1033">
        <f t="shared" si="33"/>
        <v>-34130</v>
      </c>
      <c r="AB1033">
        <f t="shared" si="32"/>
        <v>-0.21327588319680363</v>
      </c>
    </row>
    <row r="1034" spans="1:28">
      <c r="A1034" t="s">
        <v>49</v>
      </c>
      <c r="B1034" s="2">
        <v>45839</v>
      </c>
      <c r="C1034" s="2">
        <v>45809</v>
      </c>
      <c r="D1034" s="2">
        <v>45898</v>
      </c>
      <c r="E1034">
        <v>62895682</v>
      </c>
      <c r="F1034">
        <v>62854049</v>
      </c>
      <c r="G1034">
        <v>-41633</v>
      </c>
      <c r="H1034">
        <v>88.31</v>
      </c>
      <c r="I1034">
        <v>1530000</v>
      </c>
      <c r="J1034" t="s">
        <v>29</v>
      </c>
      <c r="K1034">
        <v>88.25</v>
      </c>
      <c r="L1034">
        <v>89.78</v>
      </c>
      <c r="M1034">
        <v>18790030</v>
      </c>
      <c r="N1034">
        <v>18821303</v>
      </c>
      <c r="O1034">
        <v>0</v>
      </c>
      <c r="P1034">
        <v>0</v>
      </c>
      <c r="Q1034">
        <v>14239513</v>
      </c>
      <c r="R1034">
        <v>14162137</v>
      </c>
      <c r="S1034">
        <v>4975788</v>
      </c>
      <c r="T1034">
        <v>4973433</v>
      </c>
      <c r="U1034">
        <v>0</v>
      </c>
      <c r="V1034">
        <v>0</v>
      </c>
      <c r="W1034">
        <v>0</v>
      </c>
      <c r="X1034">
        <v>0</v>
      </c>
      <c r="Y1034">
        <v>24890351</v>
      </c>
      <c r="Z1034">
        <v>24897176</v>
      </c>
      <c r="AA1034">
        <f t="shared" si="33"/>
        <v>-77376</v>
      </c>
      <c r="AB1034">
        <f t="shared" si="32"/>
        <v>-0.54338937012803734</v>
      </c>
    </row>
    <row r="1035" spans="1:28">
      <c r="A1035" t="s">
        <v>50</v>
      </c>
      <c r="B1035" s="2">
        <v>45839</v>
      </c>
      <c r="C1035" s="2">
        <v>45809</v>
      </c>
      <c r="D1035" s="2">
        <v>45898</v>
      </c>
      <c r="E1035">
        <v>57452341</v>
      </c>
      <c r="F1035">
        <v>57484251</v>
      </c>
      <c r="G1035">
        <v>31910</v>
      </c>
      <c r="H1035">
        <v>87.57</v>
      </c>
      <c r="I1035">
        <v>1160000</v>
      </c>
      <c r="J1035" t="s">
        <v>29</v>
      </c>
      <c r="K1035">
        <v>70.16</v>
      </c>
      <c r="L1035">
        <v>71.319999999999993</v>
      </c>
      <c r="M1035">
        <v>18490543</v>
      </c>
      <c r="N1035">
        <v>18449535</v>
      </c>
      <c r="O1035">
        <v>9</v>
      </c>
      <c r="P1035">
        <v>9</v>
      </c>
      <c r="Q1035">
        <v>11473984</v>
      </c>
      <c r="R1035">
        <v>11416726</v>
      </c>
      <c r="S1035">
        <v>2601347</v>
      </c>
      <c r="T1035">
        <v>2583586</v>
      </c>
      <c r="U1035">
        <v>0</v>
      </c>
      <c r="V1035">
        <v>0</v>
      </c>
      <c r="W1035">
        <v>0</v>
      </c>
      <c r="X1035">
        <v>0</v>
      </c>
      <c r="Y1035">
        <v>24886458</v>
      </c>
      <c r="Z1035">
        <v>25034395</v>
      </c>
      <c r="AA1035">
        <f t="shared" si="33"/>
        <v>-57258</v>
      </c>
      <c r="AB1035">
        <f t="shared" si="32"/>
        <v>-0.49902457594502481</v>
      </c>
    </row>
    <row r="1036" spans="1:28">
      <c r="A1036" t="s">
        <v>28</v>
      </c>
      <c r="B1036" s="2">
        <v>45870</v>
      </c>
      <c r="C1036" s="2">
        <v>45839</v>
      </c>
      <c r="D1036" s="2">
        <v>45936</v>
      </c>
      <c r="E1036">
        <v>82471906</v>
      </c>
      <c r="F1036">
        <v>82599177</v>
      </c>
      <c r="G1036">
        <v>127271</v>
      </c>
      <c r="H1036">
        <v>92.89</v>
      </c>
      <c r="I1036">
        <v>660000</v>
      </c>
      <c r="J1036" t="s">
        <v>51</v>
      </c>
      <c r="K1036">
        <v>0.69</v>
      </c>
      <c r="L1036">
        <v>0.66</v>
      </c>
      <c r="M1036">
        <v>34321932</v>
      </c>
      <c r="N1036">
        <v>34324394</v>
      </c>
      <c r="O1036">
        <v>0</v>
      </c>
      <c r="P1036">
        <v>0</v>
      </c>
      <c r="Q1036">
        <v>9503297</v>
      </c>
      <c r="R1036">
        <v>9449201</v>
      </c>
      <c r="S1036">
        <v>6916286</v>
      </c>
      <c r="T1036">
        <v>7145108</v>
      </c>
      <c r="U1036">
        <v>0</v>
      </c>
      <c r="V1036">
        <v>0</v>
      </c>
      <c r="W1036">
        <v>0</v>
      </c>
      <c r="X1036">
        <v>0</v>
      </c>
      <c r="Y1036">
        <v>31730391</v>
      </c>
      <c r="Z1036">
        <v>31680474</v>
      </c>
      <c r="AA1036">
        <f t="shared" si="33"/>
        <v>-54096</v>
      </c>
      <c r="AB1036">
        <f t="shared" si="32"/>
        <v>-0.56923402478108387</v>
      </c>
    </row>
    <row r="1037" spans="1:28">
      <c r="A1037" t="s">
        <v>30</v>
      </c>
      <c r="B1037" s="2">
        <v>45870</v>
      </c>
      <c r="C1037" s="2">
        <v>45839</v>
      </c>
      <c r="D1037" s="2">
        <v>45936</v>
      </c>
      <c r="E1037">
        <v>26469688</v>
      </c>
      <c r="F1037">
        <v>26593456</v>
      </c>
      <c r="G1037">
        <v>123768</v>
      </c>
      <c r="H1037">
        <v>88.94</v>
      </c>
      <c r="I1037">
        <v>130000</v>
      </c>
      <c r="J1037" t="s">
        <v>51</v>
      </c>
      <c r="K1037">
        <v>0.13</v>
      </c>
      <c r="L1037">
        <v>0.13</v>
      </c>
      <c r="M1037">
        <v>12351382</v>
      </c>
      <c r="N1037">
        <v>12395925</v>
      </c>
      <c r="O1037">
        <v>0</v>
      </c>
      <c r="P1037">
        <v>0</v>
      </c>
      <c r="Q1037">
        <v>1442516</v>
      </c>
      <c r="R1037">
        <v>1455241</v>
      </c>
      <c r="S1037">
        <v>2925869</v>
      </c>
      <c r="T1037">
        <v>2985454</v>
      </c>
      <c r="U1037">
        <v>0</v>
      </c>
      <c r="V1037">
        <v>0</v>
      </c>
      <c r="W1037">
        <v>0</v>
      </c>
      <c r="X1037">
        <v>0</v>
      </c>
      <c r="Y1037">
        <v>9749921</v>
      </c>
      <c r="Z1037">
        <v>9756836</v>
      </c>
      <c r="AA1037">
        <f t="shared" si="33"/>
        <v>12725</v>
      </c>
      <c r="AB1037">
        <f t="shared" si="32"/>
        <v>0.88213926223348649</v>
      </c>
    </row>
    <row r="1038" spans="1:28">
      <c r="A1038" t="s">
        <v>31</v>
      </c>
      <c r="B1038" s="2">
        <v>45870</v>
      </c>
      <c r="C1038" s="2">
        <v>45839</v>
      </c>
      <c r="D1038" s="2">
        <v>45936</v>
      </c>
      <c r="E1038">
        <v>96865810</v>
      </c>
      <c r="F1038">
        <v>97174625</v>
      </c>
      <c r="G1038">
        <v>308815</v>
      </c>
      <c r="H1038">
        <v>81.83</v>
      </c>
      <c r="I1038">
        <v>1300000</v>
      </c>
      <c r="J1038" t="s">
        <v>51</v>
      </c>
      <c r="K1038">
        <v>1.1499999999999999</v>
      </c>
      <c r="L1038">
        <v>1.3</v>
      </c>
      <c r="M1038">
        <v>40807978</v>
      </c>
      <c r="N1038">
        <v>40849847</v>
      </c>
      <c r="O1038">
        <v>0</v>
      </c>
      <c r="P1038">
        <v>0</v>
      </c>
      <c r="Q1038">
        <v>7949346</v>
      </c>
      <c r="R1038">
        <v>7895064</v>
      </c>
      <c r="S1038">
        <v>5648429</v>
      </c>
      <c r="T1038">
        <v>5670590</v>
      </c>
      <c r="U1038">
        <v>0</v>
      </c>
      <c r="V1038">
        <v>0</v>
      </c>
      <c r="W1038">
        <v>0</v>
      </c>
      <c r="X1038">
        <v>0</v>
      </c>
      <c r="Y1038">
        <v>42460057</v>
      </c>
      <c r="Z1038">
        <v>42759124</v>
      </c>
      <c r="AA1038">
        <f t="shared" si="33"/>
        <v>-54282</v>
      </c>
      <c r="AB1038">
        <f t="shared" si="32"/>
        <v>-0.68284862679269465</v>
      </c>
    </row>
    <row r="1039" spans="1:28">
      <c r="A1039" t="s">
        <v>32</v>
      </c>
      <c r="B1039" s="2">
        <v>45870</v>
      </c>
      <c r="C1039" s="2">
        <v>45839</v>
      </c>
      <c r="D1039" s="2">
        <v>45936</v>
      </c>
      <c r="E1039">
        <v>55923765</v>
      </c>
      <c r="F1039">
        <v>56178370</v>
      </c>
      <c r="G1039">
        <v>254605</v>
      </c>
      <c r="H1039">
        <v>52.72</v>
      </c>
      <c r="I1039">
        <v>690000</v>
      </c>
      <c r="J1039" t="s">
        <v>51</v>
      </c>
      <c r="K1039">
        <v>0.71</v>
      </c>
      <c r="L1039">
        <v>0.69</v>
      </c>
      <c r="M1039">
        <v>19071921</v>
      </c>
      <c r="N1039">
        <v>19131497</v>
      </c>
      <c r="O1039">
        <v>2</v>
      </c>
      <c r="P1039">
        <v>2</v>
      </c>
      <c r="Q1039">
        <v>16650505</v>
      </c>
      <c r="R1039">
        <v>16684556</v>
      </c>
      <c r="S1039">
        <v>0</v>
      </c>
      <c r="T1039">
        <v>0</v>
      </c>
      <c r="U1039">
        <v>0</v>
      </c>
      <c r="V1039">
        <v>0</v>
      </c>
      <c r="W1039">
        <v>174277</v>
      </c>
      <c r="X1039">
        <v>173896</v>
      </c>
      <c r="Y1039">
        <v>20027060</v>
      </c>
      <c r="Z1039">
        <v>20188419</v>
      </c>
      <c r="AA1039">
        <f t="shared" si="33"/>
        <v>34051</v>
      </c>
      <c r="AB1039">
        <f t="shared" si="32"/>
        <v>0.20450430782730011</v>
      </c>
    </row>
    <row r="1040" spans="1:28">
      <c r="A1040" t="s">
        <v>33</v>
      </c>
      <c r="B1040" s="2">
        <v>45870</v>
      </c>
      <c r="C1040" s="2">
        <v>45839</v>
      </c>
      <c r="D1040" s="2">
        <v>45936</v>
      </c>
      <c r="E1040">
        <v>66918815</v>
      </c>
      <c r="F1040">
        <v>67045559</v>
      </c>
      <c r="G1040">
        <v>126744</v>
      </c>
      <c r="H1040">
        <v>90.2</v>
      </c>
      <c r="I1040">
        <v>1030000</v>
      </c>
      <c r="J1040" t="s">
        <v>51</v>
      </c>
      <c r="K1040">
        <v>1.1599999999999999</v>
      </c>
      <c r="L1040">
        <v>1.03</v>
      </c>
      <c r="M1040">
        <v>12555074</v>
      </c>
      <c r="N1040">
        <v>12577571</v>
      </c>
      <c r="O1040">
        <v>1</v>
      </c>
      <c r="P1040">
        <v>1</v>
      </c>
      <c r="Q1040">
        <v>19702070</v>
      </c>
      <c r="R1040">
        <v>19601026</v>
      </c>
      <c r="S1040">
        <v>3231672</v>
      </c>
      <c r="T1040">
        <v>3270353</v>
      </c>
      <c r="U1040">
        <v>0</v>
      </c>
      <c r="V1040">
        <v>0</v>
      </c>
      <c r="W1040">
        <v>0</v>
      </c>
      <c r="X1040">
        <v>0</v>
      </c>
      <c r="Y1040">
        <v>31429998</v>
      </c>
      <c r="Z1040">
        <v>31596608</v>
      </c>
      <c r="AA1040">
        <f t="shared" si="33"/>
        <v>-101044</v>
      </c>
      <c r="AB1040">
        <f t="shared" si="32"/>
        <v>-0.51285981625280996</v>
      </c>
    </row>
    <row r="1041" spans="1:28">
      <c r="A1041" t="s">
        <v>34</v>
      </c>
      <c r="B1041" s="2">
        <v>45870</v>
      </c>
      <c r="C1041" s="2">
        <v>45839</v>
      </c>
      <c r="D1041" s="2">
        <v>45936</v>
      </c>
      <c r="E1041">
        <v>26241260</v>
      </c>
      <c r="F1041">
        <v>26349318</v>
      </c>
      <c r="G1041">
        <v>108058</v>
      </c>
      <c r="H1041">
        <v>91.68</v>
      </c>
      <c r="I1041">
        <v>450000</v>
      </c>
      <c r="J1041" t="s">
        <v>51</v>
      </c>
      <c r="K1041">
        <v>0.45</v>
      </c>
      <c r="L1041">
        <v>0.45</v>
      </c>
      <c r="M1041">
        <v>7346147</v>
      </c>
      <c r="N1041">
        <v>7385349</v>
      </c>
      <c r="O1041">
        <v>0</v>
      </c>
      <c r="P1041">
        <v>0</v>
      </c>
      <c r="Q1041">
        <v>6300847</v>
      </c>
      <c r="R1041">
        <v>6283096</v>
      </c>
      <c r="S1041">
        <v>4281565</v>
      </c>
      <c r="T1041">
        <v>4344316</v>
      </c>
      <c r="U1041">
        <v>0</v>
      </c>
      <c r="V1041">
        <v>0</v>
      </c>
      <c r="W1041">
        <v>0</v>
      </c>
      <c r="X1041">
        <v>0</v>
      </c>
      <c r="Y1041">
        <v>8312701</v>
      </c>
      <c r="Z1041">
        <v>8336557</v>
      </c>
      <c r="AA1041">
        <f t="shared" si="33"/>
        <v>-17751</v>
      </c>
      <c r="AB1041">
        <f t="shared" si="32"/>
        <v>-0.28172402853140222</v>
      </c>
    </row>
    <row r="1042" spans="1:28">
      <c r="A1042" t="s">
        <v>35</v>
      </c>
      <c r="B1042" s="2">
        <v>45870</v>
      </c>
      <c r="C1042" s="2">
        <v>45839</v>
      </c>
      <c r="D1042" s="2">
        <v>45936</v>
      </c>
      <c r="E1042">
        <v>8916268</v>
      </c>
      <c r="F1042">
        <v>9045151</v>
      </c>
      <c r="G1042">
        <v>128883</v>
      </c>
      <c r="H1042">
        <v>92.79</v>
      </c>
      <c r="I1042">
        <v>50000</v>
      </c>
      <c r="J1042" t="s">
        <v>51</v>
      </c>
      <c r="K1042">
        <v>0.05</v>
      </c>
      <c r="L1042">
        <v>0.05</v>
      </c>
      <c r="M1042">
        <v>3608108</v>
      </c>
      <c r="N1042">
        <v>3638457</v>
      </c>
      <c r="O1042">
        <v>0</v>
      </c>
      <c r="P1042">
        <v>0</v>
      </c>
      <c r="Q1042">
        <v>383681</v>
      </c>
      <c r="R1042">
        <v>386776</v>
      </c>
      <c r="S1042">
        <v>1684645</v>
      </c>
      <c r="T1042">
        <v>1734975</v>
      </c>
      <c r="U1042">
        <v>0</v>
      </c>
      <c r="V1042">
        <v>0</v>
      </c>
      <c r="W1042">
        <v>0</v>
      </c>
      <c r="X1042">
        <v>0</v>
      </c>
      <c r="Y1042">
        <v>3239834</v>
      </c>
      <c r="Z1042">
        <v>3284943</v>
      </c>
      <c r="AA1042">
        <f t="shared" si="33"/>
        <v>3095</v>
      </c>
      <c r="AB1042">
        <f t="shared" si="32"/>
        <v>0.80665969907292767</v>
      </c>
    </row>
    <row r="1043" spans="1:28">
      <c r="A1043" t="s">
        <v>36</v>
      </c>
      <c r="B1043" s="2">
        <v>45870</v>
      </c>
      <c r="C1043" s="2">
        <v>45839</v>
      </c>
      <c r="D1043" s="2">
        <v>45936</v>
      </c>
      <c r="E1043">
        <v>12650549</v>
      </c>
      <c r="F1043">
        <v>12707753</v>
      </c>
      <c r="G1043">
        <v>57204</v>
      </c>
      <c r="H1043">
        <v>79.45</v>
      </c>
      <c r="I1043">
        <v>70000</v>
      </c>
      <c r="J1043" t="s">
        <v>51</v>
      </c>
      <c r="K1043">
        <v>0.08</v>
      </c>
      <c r="L1043">
        <v>7.0000000000000007E-2</v>
      </c>
      <c r="M1043">
        <v>6373463</v>
      </c>
      <c r="N1043">
        <v>6366434</v>
      </c>
      <c r="O1043">
        <v>0</v>
      </c>
      <c r="P1043">
        <v>0</v>
      </c>
      <c r="Q1043">
        <v>254920</v>
      </c>
      <c r="R1043">
        <v>257671</v>
      </c>
      <c r="S1043">
        <v>863591</v>
      </c>
      <c r="T1043">
        <v>868064</v>
      </c>
      <c r="U1043">
        <v>0</v>
      </c>
      <c r="V1043">
        <v>0</v>
      </c>
      <c r="W1043">
        <v>0</v>
      </c>
      <c r="X1043">
        <v>0</v>
      </c>
      <c r="Y1043">
        <v>5158575</v>
      </c>
      <c r="Z1043">
        <v>5215584</v>
      </c>
      <c r="AA1043">
        <f t="shared" si="33"/>
        <v>2751</v>
      </c>
      <c r="AB1043">
        <f t="shared" si="32"/>
        <v>1.0791620900674723</v>
      </c>
    </row>
    <row r="1044" spans="1:28">
      <c r="A1044" t="s">
        <v>37</v>
      </c>
      <c r="B1044" s="2">
        <v>45870</v>
      </c>
      <c r="C1044" s="2">
        <v>45839</v>
      </c>
      <c r="D1044" s="2">
        <v>45936</v>
      </c>
      <c r="E1044">
        <v>69114728</v>
      </c>
      <c r="F1044">
        <v>69594787</v>
      </c>
      <c r="G1044">
        <v>480059</v>
      </c>
      <c r="H1044">
        <v>71.209999999999994</v>
      </c>
      <c r="I1044">
        <v>600000</v>
      </c>
      <c r="J1044" t="s">
        <v>51</v>
      </c>
      <c r="K1044">
        <v>0.63</v>
      </c>
      <c r="L1044">
        <v>0.6</v>
      </c>
      <c r="M1044">
        <v>32466518</v>
      </c>
      <c r="N1044">
        <v>32517839</v>
      </c>
      <c r="O1044">
        <v>402</v>
      </c>
      <c r="P1044">
        <v>398</v>
      </c>
      <c r="Q1044">
        <v>6936855</v>
      </c>
      <c r="R1044">
        <v>7143986</v>
      </c>
      <c r="S1044">
        <v>4502365</v>
      </c>
      <c r="T1044">
        <v>4577062</v>
      </c>
      <c r="U1044">
        <v>0</v>
      </c>
      <c r="V1044">
        <v>0</v>
      </c>
      <c r="W1044">
        <v>0</v>
      </c>
      <c r="X1044">
        <v>0</v>
      </c>
      <c r="Y1044">
        <v>25208588</v>
      </c>
      <c r="Z1044">
        <v>25355502</v>
      </c>
      <c r="AA1044">
        <f t="shared" si="33"/>
        <v>207131</v>
      </c>
      <c r="AB1044">
        <f t="shared" si="32"/>
        <v>2.9859496846914055</v>
      </c>
    </row>
    <row r="1045" spans="1:28">
      <c r="A1045" t="s">
        <v>38</v>
      </c>
      <c r="B1045" s="2">
        <v>45870</v>
      </c>
      <c r="C1045" s="2">
        <v>45839</v>
      </c>
      <c r="D1045" s="2">
        <v>45936</v>
      </c>
      <c r="E1045">
        <v>41654078</v>
      </c>
      <c r="F1045">
        <v>41804467</v>
      </c>
      <c r="G1045">
        <v>150389</v>
      </c>
      <c r="H1045">
        <v>93.56</v>
      </c>
      <c r="I1045">
        <v>280000</v>
      </c>
      <c r="J1045" t="s">
        <v>51</v>
      </c>
      <c r="K1045">
        <v>0.3</v>
      </c>
      <c r="L1045">
        <v>0.28000000000000003</v>
      </c>
      <c r="M1045">
        <v>9177773</v>
      </c>
      <c r="N1045">
        <v>9239679</v>
      </c>
      <c r="O1045">
        <v>4</v>
      </c>
      <c r="P1045">
        <v>4</v>
      </c>
      <c r="Q1045">
        <v>12828062</v>
      </c>
      <c r="R1045">
        <v>12800992</v>
      </c>
      <c r="S1045">
        <v>8789243</v>
      </c>
      <c r="T1045">
        <v>8882915</v>
      </c>
      <c r="U1045">
        <v>0</v>
      </c>
      <c r="V1045">
        <v>0</v>
      </c>
      <c r="W1045">
        <v>0</v>
      </c>
      <c r="X1045">
        <v>0</v>
      </c>
      <c r="Y1045">
        <v>10858996</v>
      </c>
      <c r="Z1045">
        <v>10880877</v>
      </c>
      <c r="AA1045">
        <f t="shared" si="33"/>
        <v>-27070</v>
      </c>
      <c r="AB1045">
        <f t="shared" si="32"/>
        <v>-0.21102174280105598</v>
      </c>
    </row>
    <row r="1046" spans="1:28">
      <c r="A1046" t="s">
        <v>39</v>
      </c>
      <c r="B1046" s="2">
        <v>45870</v>
      </c>
      <c r="C1046" s="2">
        <v>45839</v>
      </c>
      <c r="D1046" s="2">
        <v>45936</v>
      </c>
      <c r="E1046">
        <v>22332303</v>
      </c>
      <c r="F1046">
        <v>22350418</v>
      </c>
      <c r="G1046">
        <v>18115</v>
      </c>
      <c r="H1046">
        <v>86.49</v>
      </c>
      <c r="I1046">
        <v>200000</v>
      </c>
      <c r="J1046" t="s">
        <v>51</v>
      </c>
      <c r="K1046">
        <v>0.19</v>
      </c>
      <c r="L1046">
        <v>0.2</v>
      </c>
      <c r="M1046">
        <v>5319701</v>
      </c>
      <c r="N1046">
        <v>5307971</v>
      </c>
      <c r="O1046">
        <v>0</v>
      </c>
      <c r="P1046">
        <v>0</v>
      </c>
      <c r="Q1046">
        <v>4774683</v>
      </c>
      <c r="R1046">
        <v>4773654</v>
      </c>
      <c r="S1046">
        <v>1365363</v>
      </c>
      <c r="T1046">
        <v>1412094</v>
      </c>
      <c r="U1046">
        <v>0</v>
      </c>
      <c r="V1046">
        <v>0</v>
      </c>
      <c r="W1046">
        <v>0</v>
      </c>
      <c r="X1046">
        <v>0</v>
      </c>
      <c r="Y1046">
        <v>10872556</v>
      </c>
      <c r="Z1046">
        <v>10856699</v>
      </c>
      <c r="AA1046">
        <f t="shared" si="33"/>
        <v>-1029</v>
      </c>
      <c r="AB1046">
        <f t="shared" si="32"/>
        <v>-2.1551168946713321E-2</v>
      </c>
    </row>
    <row r="1047" spans="1:28">
      <c r="A1047" t="s">
        <v>40</v>
      </c>
      <c r="B1047" s="2">
        <v>45870</v>
      </c>
      <c r="C1047" s="2">
        <v>45839</v>
      </c>
      <c r="D1047" s="2">
        <v>45936</v>
      </c>
      <c r="E1047">
        <v>81578755</v>
      </c>
      <c r="F1047">
        <v>81970826</v>
      </c>
      <c r="G1047">
        <v>392071</v>
      </c>
      <c r="H1047">
        <v>85.11</v>
      </c>
      <c r="I1047">
        <v>1450000</v>
      </c>
      <c r="J1047" t="s">
        <v>51</v>
      </c>
      <c r="K1047">
        <v>1.47</v>
      </c>
      <c r="L1047">
        <v>1.45</v>
      </c>
      <c r="M1047">
        <v>16736923</v>
      </c>
      <c r="N1047">
        <v>16763182</v>
      </c>
      <c r="O1047">
        <v>0</v>
      </c>
      <c r="P1047">
        <v>0</v>
      </c>
      <c r="Q1047">
        <v>13253296</v>
      </c>
      <c r="R1047">
        <v>13205304</v>
      </c>
      <c r="S1047">
        <v>5034420</v>
      </c>
      <c r="T1047">
        <v>5097504</v>
      </c>
      <c r="U1047">
        <v>0</v>
      </c>
      <c r="V1047">
        <v>0</v>
      </c>
      <c r="W1047">
        <v>0</v>
      </c>
      <c r="X1047">
        <v>0</v>
      </c>
      <c r="Y1047">
        <v>46554116</v>
      </c>
      <c r="Z1047">
        <v>46904836</v>
      </c>
      <c r="AA1047">
        <f t="shared" si="33"/>
        <v>-47992</v>
      </c>
      <c r="AB1047">
        <f t="shared" si="32"/>
        <v>-0.36211369609491856</v>
      </c>
    </row>
    <row r="1048" spans="1:28">
      <c r="A1048" t="s">
        <v>41</v>
      </c>
      <c r="B1048" s="2">
        <v>45870</v>
      </c>
      <c r="C1048" s="2">
        <v>45839</v>
      </c>
      <c r="D1048" s="2">
        <v>45936</v>
      </c>
      <c r="E1048">
        <v>91110822</v>
      </c>
      <c r="F1048">
        <v>91349814</v>
      </c>
      <c r="G1048">
        <v>238992</v>
      </c>
      <c r="H1048">
        <v>93.93</v>
      </c>
      <c r="I1048">
        <v>1060000</v>
      </c>
      <c r="J1048" t="s">
        <v>51</v>
      </c>
      <c r="K1048">
        <v>1.1299999999999999</v>
      </c>
      <c r="L1048">
        <v>1.06</v>
      </c>
      <c r="M1048">
        <v>22837997</v>
      </c>
      <c r="N1048">
        <v>22917455</v>
      </c>
      <c r="O1048">
        <v>0</v>
      </c>
      <c r="P1048">
        <v>0</v>
      </c>
      <c r="Q1048">
        <v>20296273</v>
      </c>
      <c r="R1048">
        <v>20412459</v>
      </c>
      <c r="S1048">
        <v>5221931</v>
      </c>
      <c r="T1048">
        <v>5269712</v>
      </c>
      <c r="U1048">
        <v>0</v>
      </c>
      <c r="V1048">
        <v>0</v>
      </c>
      <c r="W1048">
        <v>0</v>
      </c>
      <c r="X1048">
        <v>0</v>
      </c>
      <c r="Y1048">
        <v>42754621</v>
      </c>
      <c r="Z1048">
        <v>42750188</v>
      </c>
      <c r="AA1048">
        <f t="shared" si="33"/>
        <v>116186</v>
      </c>
      <c r="AB1048">
        <f t="shared" si="32"/>
        <v>0.57244992713686893</v>
      </c>
    </row>
    <row r="1049" spans="1:28">
      <c r="A1049" t="s">
        <v>42</v>
      </c>
      <c r="B1049" s="2">
        <v>45870</v>
      </c>
      <c r="C1049" s="2">
        <v>45839</v>
      </c>
      <c r="D1049" s="2">
        <v>45936</v>
      </c>
      <c r="E1049">
        <v>33959804</v>
      </c>
      <c r="F1049">
        <v>34109406</v>
      </c>
      <c r="G1049">
        <v>149602</v>
      </c>
      <c r="H1049">
        <v>71.13</v>
      </c>
      <c r="I1049">
        <v>280000</v>
      </c>
      <c r="J1049" t="s">
        <v>51</v>
      </c>
      <c r="K1049">
        <v>0.28999999999999998</v>
      </c>
      <c r="L1049">
        <v>0.28000000000000003</v>
      </c>
      <c r="M1049">
        <v>10087725</v>
      </c>
      <c r="N1049">
        <v>10087793</v>
      </c>
      <c r="O1049">
        <v>58</v>
      </c>
      <c r="P1049">
        <v>55</v>
      </c>
      <c r="Q1049">
        <v>10707338</v>
      </c>
      <c r="R1049">
        <v>10711565</v>
      </c>
      <c r="S1049">
        <v>0</v>
      </c>
      <c r="T1049">
        <v>0</v>
      </c>
      <c r="U1049">
        <v>0</v>
      </c>
      <c r="V1049">
        <v>0</v>
      </c>
      <c r="W1049">
        <v>130343</v>
      </c>
      <c r="X1049">
        <v>128673</v>
      </c>
      <c r="Y1049">
        <v>13034340</v>
      </c>
      <c r="Z1049">
        <v>13181320</v>
      </c>
      <c r="AA1049">
        <f t="shared" si="33"/>
        <v>4227</v>
      </c>
      <c r="AB1049">
        <f t="shared" si="32"/>
        <v>3.9477599380910548E-2</v>
      </c>
    </row>
    <row r="1050" spans="1:28">
      <c r="A1050" t="s">
        <v>43</v>
      </c>
      <c r="B1050" s="2">
        <v>45870</v>
      </c>
      <c r="C1050" s="2">
        <v>45839</v>
      </c>
      <c r="D1050" s="2">
        <v>45936</v>
      </c>
      <c r="E1050">
        <v>12759229</v>
      </c>
      <c r="F1050">
        <v>12751163</v>
      </c>
      <c r="G1050">
        <v>-8066</v>
      </c>
      <c r="H1050">
        <v>94.88</v>
      </c>
      <c r="I1050">
        <v>30000</v>
      </c>
      <c r="J1050" t="s">
        <v>51</v>
      </c>
      <c r="K1050">
        <v>0.03</v>
      </c>
      <c r="L1050">
        <v>0.03</v>
      </c>
      <c r="M1050">
        <v>6459452</v>
      </c>
      <c r="N1050">
        <v>6456645</v>
      </c>
      <c r="O1050">
        <v>0</v>
      </c>
      <c r="P1050">
        <v>0</v>
      </c>
      <c r="Q1050">
        <v>625765</v>
      </c>
      <c r="R1050">
        <v>623613</v>
      </c>
      <c r="S1050">
        <v>1276976</v>
      </c>
      <c r="T1050">
        <v>1265400</v>
      </c>
      <c r="U1050">
        <v>0</v>
      </c>
      <c r="V1050">
        <v>0</v>
      </c>
      <c r="W1050">
        <v>0</v>
      </c>
      <c r="X1050">
        <v>0</v>
      </c>
      <c r="Y1050">
        <v>4397036</v>
      </c>
      <c r="Z1050">
        <v>4405505</v>
      </c>
      <c r="AA1050">
        <f t="shared" si="33"/>
        <v>-2152</v>
      </c>
      <c r="AB1050">
        <f t="shared" si="32"/>
        <v>-0.34389906754132943</v>
      </c>
    </row>
    <row r="1051" spans="1:28">
      <c r="A1051" t="s">
        <v>44</v>
      </c>
      <c r="B1051" s="2">
        <v>45870</v>
      </c>
      <c r="C1051" s="2">
        <v>45839</v>
      </c>
      <c r="D1051" s="2">
        <v>45936</v>
      </c>
      <c r="E1051">
        <v>35387328</v>
      </c>
      <c r="F1051">
        <v>35634126</v>
      </c>
      <c r="G1051">
        <v>246798</v>
      </c>
      <c r="H1051">
        <v>87.53</v>
      </c>
      <c r="I1051">
        <v>250000</v>
      </c>
      <c r="J1051" t="s">
        <v>51</v>
      </c>
      <c r="K1051">
        <v>0.25</v>
      </c>
      <c r="L1051">
        <v>0.25</v>
      </c>
      <c r="M1051">
        <v>11982404</v>
      </c>
      <c r="N1051">
        <v>12041180</v>
      </c>
      <c r="O1051">
        <v>0</v>
      </c>
      <c r="P1051">
        <v>0</v>
      </c>
      <c r="Q1051">
        <v>1454416</v>
      </c>
      <c r="R1051">
        <v>1464721</v>
      </c>
      <c r="S1051">
        <v>5529977</v>
      </c>
      <c r="T1051">
        <v>5558768</v>
      </c>
      <c r="U1051">
        <v>0</v>
      </c>
      <c r="V1051">
        <v>0</v>
      </c>
      <c r="W1051">
        <v>0</v>
      </c>
      <c r="X1051">
        <v>0</v>
      </c>
      <c r="Y1051">
        <v>16420531</v>
      </c>
      <c r="Z1051">
        <v>16569457</v>
      </c>
      <c r="AA1051">
        <f t="shared" si="33"/>
        <v>10305</v>
      </c>
      <c r="AB1051">
        <f t="shared" si="32"/>
        <v>0.70853180933103055</v>
      </c>
    </row>
    <row r="1052" spans="1:28">
      <c r="A1052" t="s">
        <v>45</v>
      </c>
      <c r="B1052" s="2">
        <v>45870</v>
      </c>
      <c r="C1052" s="2">
        <v>45839</v>
      </c>
      <c r="D1052" s="2">
        <v>45936</v>
      </c>
      <c r="E1052">
        <v>33815055</v>
      </c>
      <c r="F1052">
        <v>33776536</v>
      </c>
      <c r="G1052">
        <v>-38519</v>
      </c>
      <c r="H1052">
        <v>91.7</v>
      </c>
      <c r="I1052">
        <v>390000</v>
      </c>
      <c r="J1052" t="s">
        <v>51</v>
      </c>
      <c r="K1052">
        <v>0.4</v>
      </c>
      <c r="L1052">
        <v>0.39</v>
      </c>
      <c r="M1052">
        <v>12530737</v>
      </c>
      <c r="N1052">
        <v>12541673</v>
      </c>
      <c r="O1052">
        <v>7</v>
      </c>
      <c r="P1052">
        <v>6</v>
      </c>
      <c r="Q1052">
        <v>5860493</v>
      </c>
      <c r="R1052">
        <v>5816725</v>
      </c>
      <c r="S1052">
        <v>4052811</v>
      </c>
      <c r="T1052">
        <v>4073746</v>
      </c>
      <c r="U1052">
        <v>0</v>
      </c>
      <c r="V1052">
        <v>0</v>
      </c>
      <c r="W1052">
        <v>0</v>
      </c>
      <c r="X1052">
        <v>0</v>
      </c>
      <c r="Y1052">
        <v>11371007</v>
      </c>
      <c r="Z1052">
        <v>11344386</v>
      </c>
      <c r="AA1052">
        <f t="shared" si="33"/>
        <v>-43768</v>
      </c>
      <c r="AB1052">
        <f t="shared" si="32"/>
        <v>-0.74683136725869304</v>
      </c>
    </row>
    <row r="1053" spans="1:28">
      <c r="A1053" t="s">
        <v>46</v>
      </c>
      <c r="B1053" s="2">
        <v>45870</v>
      </c>
      <c r="C1053" s="2">
        <v>45839</v>
      </c>
      <c r="D1053" s="2">
        <v>45936</v>
      </c>
      <c r="E1053">
        <v>64663517</v>
      </c>
      <c r="F1053">
        <v>64702012</v>
      </c>
      <c r="G1053">
        <v>38495</v>
      </c>
      <c r="H1053">
        <v>91.28</v>
      </c>
      <c r="I1053">
        <v>800000</v>
      </c>
      <c r="J1053" t="s">
        <v>51</v>
      </c>
      <c r="K1053">
        <v>0.85</v>
      </c>
      <c r="L1053">
        <v>0.8</v>
      </c>
      <c r="M1053">
        <v>23418747</v>
      </c>
      <c r="N1053">
        <v>23350479</v>
      </c>
      <c r="O1053">
        <v>50</v>
      </c>
      <c r="P1053">
        <v>52</v>
      </c>
      <c r="Q1053">
        <v>8886044</v>
      </c>
      <c r="R1053">
        <v>8804377</v>
      </c>
      <c r="S1053">
        <v>5624794</v>
      </c>
      <c r="T1053">
        <v>5706894</v>
      </c>
      <c r="U1053">
        <v>0</v>
      </c>
      <c r="V1053">
        <v>0</v>
      </c>
      <c r="W1053">
        <v>0</v>
      </c>
      <c r="X1053">
        <v>0</v>
      </c>
      <c r="Y1053">
        <v>26733882</v>
      </c>
      <c r="Z1053">
        <v>26840210</v>
      </c>
      <c r="AA1053">
        <f t="shared" si="33"/>
        <v>-81667</v>
      </c>
      <c r="AB1053">
        <f t="shared" si="32"/>
        <v>-0.91904789127760333</v>
      </c>
    </row>
    <row r="1054" spans="1:28">
      <c r="A1054" t="s">
        <v>47</v>
      </c>
      <c r="B1054" s="2">
        <v>45870</v>
      </c>
      <c r="C1054" s="2">
        <v>45839</v>
      </c>
      <c r="D1054" s="2">
        <v>45936</v>
      </c>
      <c r="E1054">
        <v>77535215</v>
      </c>
      <c r="F1054">
        <v>77738842</v>
      </c>
      <c r="G1054">
        <v>203627</v>
      </c>
      <c r="H1054">
        <v>80.540000000000006</v>
      </c>
      <c r="I1054">
        <v>600000</v>
      </c>
      <c r="J1054" t="s">
        <v>51</v>
      </c>
      <c r="K1054">
        <v>0.64</v>
      </c>
      <c r="L1054">
        <v>0.6</v>
      </c>
      <c r="M1054">
        <v>30671841</v>
      </c>
      <c r="N1054">
        <v>30791628</v>
      </c>
      <c r="O1054">
        <v>0</v>
      </c>
      <c r="P1054">
        <v>0</v>
      </c>
      <c r="Q1054">
        <v>14502108</v>
      </c>
      <c r="R1054">
        <v>14450929</v>
      </c>
      <c r="S1054">
        <v>7786672</v>
      </c>
      <c r="T1054">
        <v>7899317</v>
      </c>
      <c r="U1054">
        <v>0</v>
      </c>
      <c r="V1054">
        <v>0</v>
      </c>
      <c r="W1054">
        <v>0</v>
      </c>
      <c r="X1054">
        <v>0</v>
      </c>
      <c r="Y1054">
        <v>24574594</v>
      </c>
      <c r="Z1054">
        <v>24596968</v>
      </c>
      <c r="AA1054">
        <f t="shared" si="33"/>
        <v>-51179</v>
      </c>
      <c r="AB1054">
        <f t="shared" si="32"/>
        <v>-0.35290731526754593</v>
      </c>
    </row>
    <row r="1055" spans="1:28">
      <c r="A1055" t="s">
        <v>48</v>
      </c>
      <c r="B1055" s="2">
        <v>45870</v>
      </c>
      <c r="C1055" s="2">
        <v>45839</v>
      </c>
      <c r="D1055" s="2">
        <v>45936</v>
      </c>
      <c r="E1055">
        <v>102804215</v>
      </c>
      <c r="F1055">
        <v>103122187</v>
      </c>
      <c r="G1055">
        <v>317972</v>
      </c>
      <c r="H1055">
        <v>86.16</v>
      </c>
      <c r="I1055">
        <v>2090000</v>
      </c>
      <c r="J1055" t="s">
        <v>51</v>
      </c>
      <c r="K1055">
        <v>2.13</v>
      </c>
      <c r="L1055">
        <v>2.09</v>
      </c>
      <c r="M1055">
        <v>36081574</v>
      </c>
      <c r="N1055">
        <v>35998468</v>
      </c>
      <c r="O1055">
        <v>0</v>
      </c>
      <c r="P1055">
        <v>0</v>
      </c>
      <c r="Q1055">
        <v>15968617</v>
      </c>
      <c r="R1055">
        <v>15931810</v>
      </c>
      <c r="S1055">
        <v>8069909</v>
      </c>
      <c r="T1055">
        <v>8263805</v>
      </c>
      <c r="U1055">
        <v>0</v>
      </c>
      <c r="V1055">
        <v>0</v>
      </c>
      <c r="W1055">
        <v>0</v>
      </c>
      <c r="X1055">
        <v>0</v>
      </c>
      <c r="Y1055">
        <v>42684115</v>
      </c>
      <c r="Z1055">
        <v>42928104</v>
      </c>
      <c r="AA1055">
        <f t="shared" si="33"/>
        <v>-36807</v>
      </c>
      <c r="AB1055">
        <f t="shared" si="32"/>
        <v>-0.23049585321008076</v>
      </c>
    </row>
    <row r="1056" spans="1:28">
      <c r="A1056" t="s">
        <v>49</v>
      </c>
      <c r="B1056" s="2">
        <v>45870</v>
      </c>
      <c r="C1056" s="2">
        <v>45839</v>
      </c>
      <c r="D1056" s="2">
        <v>45936</v>
      </c>
      <c r="E1056">
        <v>62854049</v>
      </c>
      <c r="F1056">
        <v>62965835</v>
      </c>
      <c r="G1056">
        <v>111786</v>
      </c>
      <c r="H1056">
        <v>89.19</v>
      </c>
      <c r="I1056">
        <v>1520000</v>
      </c>
      <c r="J1056" t="s">
        <v>51</v>
      </c>
      <c r="K1056">
        <v>1.53</v>
      </c>
      <c r="L1056">
        <v>1.52</v>
      </c>
      <c r="M1056">
        <v>18821303</v>
      </c>
      <c r="N1056">
        <v>18851882</v>
      </c>
      <c r="O1056">
        <v>0</v>
      </c>
      <c r="P1056">
        <v>0</v>
      </c>
      <c r="Q1056">
        <v>14162137</v>
      </c>
      <c r="R1056">
        <v>14074444</v>
      </c>
      <c r="S1056">
        <v>4973433</v>
      </c>
      <c r="T1056">
        <v>5104295</v>
      </c>
      <c r="U1056">
        <v>0</v>
      </c>
      <c r="V1056">
        <v>0</v>
      </c>
      <c r="W1056">
        <v>0</v>
      </c>
      <c r="X1056">
        <v>0</v>
      </c>
      <c r="Y1056">
        <v>24897176</v>
      </c>
      <c r="Z1056">
        <v>24935214</v>
      </c>
      <c r="AA1056">
        <f t="shared" si="33"/>
        <v>-87693</v>
      </c>
      <c r="AB1056">
        <f t="shared" si="32"/>
        <v>-0.61920739786657897</v>
      </c>
    </row>
    <row r="1057" spans="1:28">
      <c r="A1057" t="s">
        <v>50</v>
      </c>
      <c r="B1057" s="2">
        <v>45870</v>
      </c>
      <c r="C1057" s="2">
        <v>45839</v>
      </c>
      <c r="D1057" s="2">
        <v>45936</v>
      </c>
      <c r="E1057">
        <v>57484251</v>
      </c>
      <c r="F1057">
        <v>57467023</v>
      </c>
      <c r="G1057">
        <v>-17228</v>
      </c>
      <c r="H1057">
        <v>86.53</v>
      </c>
      <c r="I1057">
        <v>1120000</v>
      </c>
      <c r="J1057" t="s">
        <v>51</v>
      </c>
      <c r="K1057">
        <v>1.1499999999999999</v>
      </c>
      <c r="L1057">
        <v>1.1200000000000001</v>
      </c>
      <c r="M1057">
        <v>18449535</v>
      </c>
      <c r="N1057">
        <v>18438974</v>
      </c>
      <c r="O1057">
        <v>9</v>
      </c>
      <c r="P1057">
        <v>8</v>
      </c>
      <c r="Q1057">
        <v>11416726</v>
      </c>
      <c r="R1057">
        <v>11323801</v>
      </c>
      <c r="S1057">
        <v>2583586</v>
      </c>
      <c r="T1057">
        <v>2618398</v>
      </c>
      <c r="U1057">
        <v>0</v>
      </c>
      <c r="V1057">
        <v>0</v>
      </c>
      <c r="W1057">
        <v>0</v>
      </c>
      <c r="X1057">
        <v>0</v>
      </c>
      <c r="Y1057">
        <v>25034395</v>
      </c>
      <c r="Z1057">
        <v>25085842</v>
      </c>
      <c r="AA1057">
        <f t="shared" si="33"/>
        <v>-92925</v>
      </c>
      <c r="AB1057">
        <f t="shared" si="32"/>
        <v>-0.8139373757415217</v>
      </c>
    </row>
    <row r="1058" spans="1:28">
      <c r="A1058" t="s">
        <v>28</v>
      </c>
      <c r="B1058" s="2">
        <v>45901</v>
      </c>
      <c r="C1058" s="2">
        <v>45870</v>
      </c>
      <c r="D1058" s="2">
        <v>45957</v>
      </c>
      <c r="E1058">
        <v>82599177</v>
      </c>
      <c r="F1058">
        <v>82767151</v>
      </c>
      <c r="G1058">
        <v>167974</v>
      </c>
      <c r="H1058">
        <v>93.05</v>
      </c>
      <c r="I1058">
        <v>700000</v>
      </c>
      <c r="J1058" t="s">
        <v>51</v>
      </c>
      <c r="K1058">
        <v>0.66</v>
      </c>
      <c r="L1058">
        <v>0.7</v>
      </c>
      <c r="M1058">
        <v>34324394</v>
      </c>
      <c r="N1058">
        <v>34363642</v>
      </c>
      <c r="O1058">
        <v>0</v>
      </c>
      <c r="P1058">
        <v>0</v>
      </c>
      <c r="Q1058">
        <v>9449201</v>
      </c>
      <c r="R1058">
        <v>9379273</v>
      </c>
      <c r="S1058">
        <v>7145108</v>
      </c>
      <c r="T1058">
        <v>7225948</v>
      </c>
      <c r="U1058">
        <v>0</v>
      </c>
      <c r="V1058">
        <v>0</v>
      </c>
      <c r="W1058">
        <v>0</v>
      </c>
      <c r="X1058">
        <v>0</v>
      </c>
      <c r="Y1058">
        <v>31680474</v>
      </c>
      <c r="Z1058">
        <v>31798288</v>
      </c>
      <c r="AA1058">
        <f t="shared" si="33"/>
        <v>-69928</v>
      </c>
      <c r="AB1058">
        <f t="shared" si="32"/>
        <v>-0.74004140667554863</v>
      </c>
    </row>
    <row r="1059" spans="1:28">
      <c r="A1059" t="s">
        <v>30</v>
      </c>
      <c r="B1059" s="2">
        <v>45901</v>
      </c>
      <c r="C1059" s="2">
        <v>45870</v>
      </c>
      <c r="D1059" s="2">
        <v>45957</v>
      </c>
      <c r="E1059">
        <v>26593456</v>
      </c>
      <c r="F1059">
        <v>26665426</v>
      </c>
      <c r="G1059">
        <v>71970</v>
      </c>
      <c r="H1059">
        <v>89.96</v>
      </c>
      <c r="I1059">
        <v>120000</v>
      </c>
      <c r="J1059" t="s">
        <v>51</v>
      </c>
      <c r="K1059">
        <v>0.13</v>
      </c>
      <c r="L1059">
        <v>0.12</v>
      </c>
      <c r="M1059">
        <v>12395925</v>
      </c>
      <c r="N1059">
        <v>12420302</v>
      </c>
      <c r="O1059">
        <v>0</v>
      </c>
      <c r="P1059">
        <v>0</v>
      </c>
      <c r="Q1059">
        <v>1455241</v>
      </c>
      <c r="R1059">
        <v>1447675</v>
      </c>
      <c r="S1059">
        <v>2985454</v>
      </c>
      <c r="T1059">
        <v>3002586</v>
      </c>
      <c r="U1059">
        <v>0</v>
      </c>
      <c r="V1059">
        <v>0</v>
      </c>
      <c r="W1059">
        <v>0</v>
      </c>
      <c r="X1059">
        <v>0</v>
      </c>
      <c r="Y1059">
        <v>9756836</v>
      </c>
      <c r="Z1059">
        <v>9794863</v>
      </c>
      <c r="AA1059">
        <f t="shared" si="33"/>
        <v>-7566</v>
      </c>
      <c r="AB1059">
        <f t="shared" si="32"/>
        <v>-0.51991388367974789</v>
      </c>
    </row>
    <row r="1060" spans="1:28">
      <c r="A1060" t="s">
        <v>31</v>
      </c>
      <c r="B1060" s="2">
        <v>45901</v>
      </c>
      <c r="C1060" s="2">
        <v>45870</v>
      </c>
      <c r="D1060" s="2">
        <v>45957</v>
      </c>
      <c r="E1060">
        <v>97174625</v>
      </c>
      <c r="F1060">
        <v>97785042</v>
      </c>
      <c r="G1060">
        <v>610417</v>
      </c>
      <c r="H1060">
        <v>82.08</v>
      </c>
      <c r="I1060">
        <v>1410000</v>
      </c>
      <c r="J1060" t="s">
        <v>51</v>
      </c>
      <c r="K1060">
        <v>1.3</v>
      </c>
      <c r="L1060">
        <v>1.41</v>
      </c>
      <c r="M1060">
        <v>40849847</v>
      </c>
      <c r="N1060">
        <v>41104423</v>
      </c>
      <c r="O1060">
        <v>0</v>
      </c>
      <c r="P1060">
        <v>0</v>
      </c>
      <c r="Q1060">
        <v>7895064</v>
      </c>
      <c r="R1060">
        <v>7834785</v>
      </c>
      <c r="S1060">
        <v>5670590</v>
      </c>
      <c r="T1060">
        <v>5668882</v>
      </c>
      <c r="U1060">
        <v>0</v>
      </c>
      <c r="V1060">
        <v>0</v>
      </c>
      <c r="W1060">
        <v>0</v>
      </c>
      <c r="X1060">
        <v>0</v>
      </c>
      <c r="Y1060">
        <v>42759124</v>
      </c>
      <c r="Z1060">
        <v>43176952</v>
      </c>
      <c r="AA1060">
        <f t="shared" si="33"/>
        <v>-60279</v>
      </c>
      <c r="AB1060">
        <f t="shared" si="32"/>
        <v>-0.76350236046218245</v>
      </c>
    </row>
    <row r="1061" spans="1:28">
      <c r="A1061" t="s">
        <v>32</v>
      </c>
      <c r="B1061" s="2">
        <v>45901</v>
      </c>
      <c r="C1061" s="2">
        <v>45870</v>
      </c>
      <c r="D1061" s="2">
        <v>45957</v>
      </c>
      <c r="E1061">
        <v>56178370</v>
      </c>
      <c r="F1061">
        <v>56636918</v>
      </c>
      <c r="G1061">
        <v>458548</v>
      </c>
      <c r="H1061">
        <v>51.68</v>
      </c>
      <c r="I1061">
        <v>750000</v>
      </c>
      <c r="J1061" t="s">
        <v>51</v>
      </c>
      <c r="K1061">
        <v>0.69</v>
      </c>
      <c r="L1061">
        <v>0.75</v>
      </c>
      <c r="M1061">
        <v>19131497</v>
      </c>
      <c r="N1061">
        <v>19167041</v>
      </c>
      <c r="O1061">
        <v>2</v>
      </c>
      <c r="P1061">
        <v>2</v>
      </c>
      <c r="Q1061">
        <v>16684556</v>
      </c>
      <c r="R1061">
        <v>17025337</v>
      </c>
      <c r="S1061">
        <v>0</v>
      </c>
      <c r="T1061">
        <v>0</v>
      </c>
      <c r="U1061">
        <v>0</v>
      </c>
      <c r="V1061">
        <v>0</v>
      </c>
      <c r="W1061">
        <v>173896</v>
      </c>
      <c r="X1061">
        <v>139856</v>
      </c>
      <c r="Y1061">
        <v>20188419</v>
      </c>
      <c r="Z1061">
        <v>20304682</v>
      </c>
      <c r="AA1061">
        <f t="shared" si="33"/>
        <v>340781</v>
      </c>
      <c r="AB1061">
        <f t="shared" si="32"/>
        <v>2.0424936689954469</v>
      </c>
    </row>
    <row r="1062" spans="1:28">
      <c r="A1062" t="s">
        <v>33</v>
      </c>
      <c r="B1062" s="2">
        <v>45901</v>
      </c>
      <c r="C1062" s="2">
        <v>45870</v>
      </c>
      <c r="D1062" s="2">
        <v>45957</v>
      </c>
      <c r="E1062">
        <v>67045559</v>
      </c>
      <c r="F1062">
        <v>67101455</v>
      </c>
      <c r="G1062">
        <v>55896</v>
      </c>
      <c r="H1062">
        <v>92.02</v>
      </c>
      <c r="I1062">
        <v>1020000</v>
      </c>
      <c r="J1062" t="s">
        <v>51</v>
      </c>
      <c r="K1062">
        <v>1.03</v>
      </c>
      <c r="L1062">
        <v>1.02</v>
      </c>
      <c r="M1062">
        <v>12577571</v>
      </c>
      <c r="N1062">
        <v>12650628</v>
      </c>
      <c r="O1062">
        <v>1</v>
      </c>
      <c r="P1062">
        <v>1</v>
      </c>
      <c r="Q1062">
        <v>19601026</v>
      </c>
      <c r="R1062">
        <v>19430077</v>
      </c>
      <c r="S1062">
        <v>3270353</v>
      </c>
      <c r="T1062">
        <v>3287659</v>
      </c>
      <c r="U1062">
        <v>0</v>
      </c>
      <c r="V1062">
        <v>0</v>
      </c>
      <c r="W1062">
        <v>0</v>
      </c>
      <c r="X1062">
        <v>0</v>
      </c>
      <c r="Y1062">
        <v>31596608</v>
      </c>
      <c r="Z1062">
        <v>31733090</v>
      </c>
      <c r="AA1062">
        <f t="shared" si="33"/>
        <v>-170949</v>
      </c>
      <c r="AB1062">
        <f t="shared" si="32"/>
        <v>-0.87214312148761997</v>
      </c>
    </row>
    <row r="1063" spans="1:28">
      <c r="A1063" t="s">
        <v>34</v>
      </c>
      <c r="B1063" s="2">
        <v>45901</v>
      </c>
      <c r="C1063" s="2">
        <v>45870</v>
      </c>
      <c r="D1063" s="2">
        <v>45957</v>
      </c>
      <c r="E1063">
        <v>26349318</v>
      </c>
      <c r="F1063">
        <v>26450307</v>
      </c>
      <c r="G1063">
        <v>100989</v>
      </c>
      <c r="H1063">
        <v>92.28</v>
      </c>
      <c r="I1063">
        <v>450000</v>
      </c>
      <c r="J1063" t="s">
        <v>51</v>
      </c>
      <c r="K1063">
        <v>0.45</v>
      </c>
      <c r="L1063">
        <v>0.45</v>
      </c>
      <c r="M1063">
        <v>7385349</v>
      </c>
      <c r="N1063">
        <v>7401581</v>
      </c>
      <c r="O1063">
        <v>0</v>
      </c>
      <c r="P1063">
        <v>0</v>
      </c>
      <c r="Q1063">
        <v>6283096</v>
      </c>
      <c r="R1063">
        <v>6239824</v>
      </c>
      <c r="S1063">
        <v>4344316</v>
      </c>
      <c r="T1063">
        <v>4391910</v>
      </c>
      <c r="U1063">
        <v>0</v>
      </c>
      <c r="V1063">
        <v>0</v>
      </c>
      <c r="W1063">
        <v>0</v>
      </c>
      <c r="X1063">
        <v>0</v>
      </c>
      <c r="Y1063">
        <v>8336557</v>
      </c>
      <c r="Z1063">
        <v>8416992</v>
      </c>
      <c r="AA1063">
        <f t="shared" si="33"/>
        <v>-43272</v>
      </c>
      <c r="AB1063">
        <f t="shared" si="32"/>
        <v>-0.68870505877993904</v>
      </c>
    </row>
    <row r="1064" spans="1:28">
      <c r="A1064" t="s">
        <v>35</v>
      </c>
      <c r="B1064" s="2">
        <v>45901</v>
      </c>
      <c r="C1064" s="2">
        <v>45870</v>
      </c>
      <c r="D1064" s="2">
        <v>45957</v>
      </c>
      <c r="E1064">
        <v>9045151</v>
      </c>
      <c r="F1064">
        <v>9135242</v>
      </c>
      <c r="G1064">
        <v>90091</v>
      </c>
      <c r="H1064">
        <v>98.6</v>
      </c>
      <c r="I1064">
        <v>60000</v>
      </c>
      <c r="J1064" t="s">
        <v>51</v>
      </c>
      <c r="K1064">
        <v>0.05</v>
      </c>
      <c r="L1064">
        <v>0.06</v>
      </c>
      <c r="M1064">
        <v>3638457</v>
      </c>
      <c r="N1064">
        <v>3637680</v>
      </c>
      <c r="O1064">
        <v>0</v>
      </c>
      <c r="P1064">
        <v>0</v>
      </c>
      <c r="Q1064">
        <v>386776</v>
      </c>
      <c r="R1064">
        <v>387143</v>
      </c>
      <c r="S1064">
        <v>1734975</v>
      </c>
      <c r="T1064">
        <v>1750572</v>
      </c>
      <c r="U1064">
        <v>0</v>
      </c>
      <c r="V1064">
        <v>0</v>
      </c>
      <c r="W1064">
        <v>0</v>
      </c>
      <c r="X1064">
        <v>0</v>
      </c>
      <c r="Y1064">
        <v>3284943</v>
      </c>
      <c r="Z1064">
        <v>3359847</v>
      </c>
      <c r="AA1064">
        <f t="shared" si="33"/>
        <v>367</v>
      </c>
      <c r="AB1064">
        <f t="shared" si="32"/>
        <v>9.4886962996669905E-2</v>
      </c>
    </row>
    <row r="1065" spans="1:28">
      <c r="A1065" t="s">
        <v>36</v>
      </c>
      <c r="B1065" s="2">
        <v>45901</v>
      </c>
      <c r="C1065" s="2">
        <v>45870</v>
      </c>
      <c r="D1065" s="2">
        <v>45957</v>
      </c>
      <c r="E1065">
        <v>12707753</v>
      </c>
      <c r="F1065">
        <v>12702413</v>
      </c>
      <c r="G1065">
        <v>-5340</v>
      </c>
      <c r="H1065">
        <v>85.4</v>
      </c>
      <c r="I1065">
        <v>70000</v>
      </c>
      <c r="J1065" t="s">
        <v>51</v>
      </c>
      <c r="K1065">
        <v>7.0000000000000007E-2</v>
      </c>
      <c r="L1065">
        <v>7.0000000000000007E-2</v>
      </c>
      <c r="M1065">
        <v>6366434</v>
      </c>
      <c r="N1065">
        <v>6329892</v>
      </c>
      <c r="O1065">
        <v>0</v>
      </c>
      <c r="P1065">
        <v>0</v>
      </c>
      <c r="Q1065">
        <v>257671</v>
      </c>
      <c r="R1065">
        <v>253008</v>
      </c>
      <c r="S1065">
        <v>868064</v>
      </c>
      <c r="T1065">
        <v>864383</v>
      </c>
      <c r="U1065">
        <v>0</v>
      </c>
      <c r="V1065">
        <v>0</v>
      </c>
      <c r="W1065">
        <v>0</v>
      </c>
      <c r="X1065">
        <v>0</v>
      </c>
      <c r="Y1065">
        <v>5215584</v>
      </c>
      <c r="Z1065">
        <v>5255130</v>
      </c>
      <c r="AA1065">
        <f t="shared" si="33"/>
        <v>-4663</v>
      </c>
      <c r="AB1065">
        <f t="shared" si="32"/>
        <v>-1.8096720236270281</v>
      </c>
    </row>
    <row r="1066" spans="1:28">
      <c r="A1066" t="s">
        <v>37</v>
      </c>
      <c r="B1066" s="2">
        <v>45901</v>
      </c>
      <c r="C1066" s="2">
        <v>45870</v>
      </c>
      <c r="D1066" s="2">
        <v>45957</v>
      </c>
      <c r="E1066">
        <v>69594787</v>
      </c>
      <c r="F1066">
        <v>69948653</v>
      </c>
      <c r="G1066">
        <v>353866</v>
      </c>
      <c r="H1066">
        <v>73.3</v>
      </c>
      <c r="I1066">
        <v>630000</v>
      </c>
      <c r="J1066" t="s">
        <v>51</v>
      </c>
      <c r="K1066">
        <v>0.6</v>
      </c>
      <c r="L1066">
        <v>0.63</v>
      </c>
      <c r="M1066">
        <v>32517839</v>
      </c>
      <c r="N1066">
        <v>32550788</v>
      </c>
      <c r="O1066">
        <v>398</v>
      </c>
      <c r="P1066">
        <v>392</v>
      </c>
      <c r="Q1066">
        <v>7143986</v>
      </c>
      <c r="R1066">
        <v>7124815</v>
      </c>
      <c r="S1066">
        <v>4577062</v>
      </c>
      <c r="T1066">
        <v>4621271</v>
      </c>
      <c r="U1066">
        <v>0</v>
      </c>
      <c r="V1066">
        <v>0</v>
      </c>
      <c r="W1066">
        <v>0</v>
      </c>
      <c r="X1066">
        <v>0</v>
      </c>
      <c r="Y1066">
        <v>25355502</v>
      </c>
      <c r="Z1066">
        <v>25651387</v>
      </c>
      <c r="AA1066">
        <f t="shared" si="33"/>
        <v>-19171</v>
      </c>
      <c r="AB1066">
        <f t="shared" si="32"/>
        <v>-0.26835158971476147</v>
      </c>
    </row>
    <row r="1067" spans="1:28">
      <c r="A1067" t="s">
        <v>38</v>
      </c>
      <c r="B1067" s="2">
        <v>45901</v>
      </c>
      <c r="C1067" s="2">
        <v>45870</v>
      </c>
      <c r="D1067" s="2">
        <v>45957</v>
      </c>
      <c r="E1067">
        <v>41804467</v>
      </c>
      <c r="F1067">
        <v>41859897</v>
      </c>
      <c r="G1067">
        <v>55430</v>
      </c>
      <c r="H1067">
        <v>94.46</v>
      </c>
      <c r="I1067">
        <v>250000</v>
      </c>
      <c r="J1067" t="s">
        <v>51</v>
      </c>
      <c r="K1067">
        <v>0.28000000000000003</v>
      </c>
      <c r="L1067">
        <v>0.25</v>
      </c>
      <c r="M1067">
        <v>9239679</v>
      </c>
      <c r="N1067">
        <v>9236441</v>
      </c>
      <c r="O1067">
        <v>4</v>
      </c>
      <c r="P1067">
        <v>4</v>
      </c>
      <c r="Q1067">
        <v>12800992</v>
      </c>
      <c r="R1067">
        <v>12763783</v>
      </c>
      <c r="S1067">
        <v>8882915</v>
      </c>
      <c r="T1067">
        <v>8912373</v>
      </c>
      <c r="U1067">
        <v>0</v>
      </c>
      <c r="V1067">
        <v>0</v>
      </c>
      <c r="W1067">
        <v>0</v>
      </c>
      <c r="X1067">
        <v>0</v>
      </c>
      <c r="Y1067">
        <v>10880877</v>
      </c>
      <c r="Z1067">
        <v>10947296</v>
      </c>
      <c r="AA1067">
        <f t="shared" si="33"/>
        <v>-37209</v>
      </c>
      <c r="AB1067">
        <f t="shared" si="32"/>
        <v>-0.29067278535913466</v>
      </c>
    </row>
    <row r="1068" spans="1:28">
      <c r="A1068" t="s">
        <v>39</v>
      </c>
      <c r="B1068" s="2">
        <v>45901</v>
      </c>
      <c r="C1068" s="2">
        <v>45870</v>
      </c>
      <c r="D1068" s="2">
        <v>45957</v>
      </c>
      <c r="E1068">
        <v>22350418</v>
      </c>
      <c r="F1068">
        <v>22335018</v>
      </c>
      <c r="G1068">
        <v>-15400</v>
      </c>
      <c r="H1068">
        <v>87.28</v>
      </c>
      <c r="I1068">
        <v>190000</v>
      </c>
      <c r="J1068" t="s">
        <v>51</v>
      </c>
      <c r="K1068">
        <v>0.2</v>
      </c>
      <c r="L1068">
        <v>0.19</v>
      </c>
      <c r="M1068">
        <v>5307971</v>
      </c>
      <c r="N1068">
        <v>5288622</v>
      </c>
      <c r="O1068">
        <v>0</v>
      </c>
      <c r="P1068">
        <v>0</v>
      </c>
      <c r="Q1068">
        <v>4773654</v>
      </c>
      <c r="R1068">
        <v>4749947</v>
      </c>
      <c r="S1068">
        <v>1412094</v>
      </c>
      <c r="T1068">
        <v>1421518</v>
      </c>
      <c r="U1068">
        <v>0</v>
      </c>
      <c r="V1068">
        <v>0</v>
      </c>
      <c r="W1068">
        <v>0</v>
      </c>
      <c r="X1068">
        <v>0</v>
      </c>
      <c r="Y1068">
        <v>10856699</v>
      </c>
      <c r="Z1068">
        <v>10874931</v>
      </c>
      <c r="AA1068">
        <f t="shared" si="33"/>
        <v>-23707</v>
      </c>
      <c r="AB1068">
        <f t="shared" si="32"/>
        <v>-0.49662166549984565</v>
      </c>
    </row>
    <row r="1069" spans="1:28">
      <c r="A1069" t="s">
        <v>40</v>
      </c>
      <c r="B1069" s="2">
        <v>45901</v>
      </c>
      <c r="C1069" s="2">
        <v>45870</v>
      </c>
      <c r="D1069" s="2">
        <v>45957</v>
      </c>
      <c r="E1069">
        <v>81970826</v>
      </c>
      <c r="F1069">
        <v>82160973</v>
      </c>
      <c r="G1069">
        <v>190147</v>
      </c>
      <c r="H1069">
        <v>86.47</v>
      </c>
      <c r="I1069">
        <v>1390000</v>
      </c>
      <c r="J1069" t="s">
        <v>51</v>
      </c>
      <c r="K1069">
        <v>1.45</v>
      </c>
      <c r="L1069">
        <v>1.39</v>
      </c>
      <c r="M1069">
        <v>16763182</v>
      </c>
      <c r="N1069">
        <v>16801295</v>
      </c>
      <c r="O1069">
        <v>0</v>
      </c>
      <c r="P1069">
        <v>0</v>
      </c>
      <c r="Q1069">
        <v>13205304</v>
      </c>
      <c r="R1069">
        <v>13100708</v>
      </c>
      <c r="S1069">
        <v>5097504</v>
      </c>
      <c r="T1069">
        <v>5105300</v>
      </c>
      <c r="U1069">
        <v>0</v>
      </c>
      <c r="V1069">
        <v>0</v>
      </c>
      <c r="W1069">
        <v>0</v>
      </c>
      <c r="X1069">
        <v>0</v>
      </c>
      <c r="Y1069">
        <v>46904836</v>
      </c>
      <c r="Z1069">
        <v>47153670</v>
      </c>
      <c r="AA1069">
        <f t="shared" si="33"/>
        <v>-104596</v>
      </c>
      <c r="AB1069">
        <f t="shared" si="32"/>
        <v>-0.79207566898876391</v>
      </c>
    </row>
    <row r="1070" spans="1:28">
      <c r="A1070" t="s">
        <v>41</v>
      </c>
      <c r="B1070" s="2">
        <v>45901</v>
      </c>
      <c r="C1070" s="2">
        <v>45870</v>
      </c>
      <c r="D1070" s="2">
        <v>45957</v>
      </c>
      <c r="E1070">
        <v>91349814</v>
      </c>
      <c r="F1070">
        <v>91644217</v>
      </c>
      <c r="G1070">
        <v>294403</v>
      </c>
      <c r="H1070">
        <v>93.75</v>
      </c>
      <c r="I1070">
        <v>1060000</v>
      </c>
      <c r="J1070" t="s">
        <v>51</v>
      </c>
      <c r="K1070">
        <v>1.06</v>
      </c>
      <c r="L1070">
        <v>1.06</v>
      </c>
      <c r="M1070">
        <v>22917455</v>
      </c>
      <c r="N1070">
        <v>22969710</v>
      </c>
      <c r="O1070">
        <v>0</v>
      </c>
      <c r="P1070">
        <v>0</v>
      </c>
      <c r="Q1070">
        <v>20412459</v>
      </c>
      <c r="R1070">
        <v>20462963</v>
      </c>
      <c r="S1070">
        <v>5269712</v>
      </c>
      <c r="T1070">
        <v>5304322</v>
      </c>
      <c r="U1070">
        <v>0</v>
      </c>
      <c r="V1070">
        <v>0</v>
      </c>
      <c r="W1070">
        <v>0</v>
      </c>
      <c r="X1070">
        <v>0</v>
      </c>
      <c r="Y1070">
        <v>42750188</v>
      </c>
      <c r="Z1070">
        <v>42907222</v>
      </c>
      <c r="AA1070">
        <f t="shared" si="33"/>
        <v>50504</v>
      </c>
      <c r="AB1070">
        <f t="shared" si="32"/>
        <v>0.24741752083862115</v>
      </c>
    </row>
    <row r="1071" spans="1:28">
      <c r="A1071" t="s">
        <v>42</v>
      </c>
      <c r="B1071" s="2">
        <v>45901</v>
      </c>
      <c r="C1071" s="2">
        <v>45870</v>
      </c>
      <c r="D1071" s="2">
        <v>45957</v>
      </c>
      <c r="E1071">
        <v>34109406</v>
      </c>
      <c r="F1071">
        <v>34293204</v>
      </c>
      <c r="G1071">
        <v>183798</v>
      </c>
      <c r="H1071">
        <v>71.040000000000006</v>
      </c>
      <c r="I1071">
        <v>280000</v>
      </c>
      <c r="J1071" t="s">
        <v>51</v>
      </c>
      <c r="K1071">
        <v>0.28000000000000003</v>
      </c>
      <c r="L1071">
        <v>0.28000000000000003</v>
      </c>
      <c r="M1071">
        <v>10087793</v>
      </c>
      <c r="N1071">
        <v>10075231</v>
      </c>
      <c r="O1071">
        <v>55</v>
      </c>
      <c r="P1071">
        <v>50</v>
      </c>
      <c r="Q1071">
        <v>10711565</v>
      </c>
      <c r="R1071">
        <v>10778948</v>
      </c>
      <c r="S1071">
        <v>0</v>
      </c>
      <c r="T1071">
        <v>0</v>
      </c>
      <c r="U1071">
        <v>0</v>
      </c>
      <c r="V1071">
        <v>0</v>
      </c>
      <c r="W1071">
        <v>128673</v>
      </c>
      <c r="X1071">
        <v>105785</v>
      </c>
      <c r="Y1071">
        <v>13181320</v>
      </c>
      <c r="Z1071">
        <v>13333190</v>
      </c>
      <c r="AA1071">
        <f t="shared" si="33"/>
        <v>67383</v>
      </c>
      <c r="AB1071">
        <f t="shared" si="32"/>
        <v>0.62906774126843279</v>
      </c>
    </row>
    <row r="1072" spans="1:28">
      <c r="A1072" t="s">
        <v>43</v>
      </c>
      <c r="B1072" s="2">
        <v>45901</v>
      </c>
      <c r="C1072" s="2">
        <v>45870</v>
      </c>
      <c r="D1072" s="2">
        <v>45957</v>
      </c>
      <c r="E1072">
        <v>12751163</v>
      </c>
      <c r="F1072">
        <v>12768069</v>
      </c>
      <c r="G1072">
        <v>16906</v>
      </c>
      <c r="H1072">
        <v>96.87</v>
      </c>
      <c r="I1072">
        <v>30000</v>
      </c>
      <c r="J1072" t="s">
        <v>51</v>
      </c>
      <c r="K1072">
        <v>0.03</v>
      </c>
      <c r="L1072">
        <v>0.03</v>
      </c>
      <c r="M1072">
        <v>6456645</v>
      </c>
      <c r="N1072">
        <v>6458088</v>
      </c>
      <c r="O1072">
        <v>0</v>
      </c>
      <c r="P1072">
        <v>0</v>
      </c>
      <c r="Q1072">
        <v>623613</v>
      </c>
      <c r="R1072">
        <v>618037</v>
      </c>
      <c r="S1072">
        <v>1265400</v>
      </c>
      <c r="T1072">
        <v>1280227</v>
      </c>
      <c r="U1072">
        <v>0</v>
      </c>
      <c r="V1072">
        <v>0</v>
      </c>
      <c r="W1072">
        <v>0</v>
      </c>
      <c r="X1072">
        <v>0</v>
      </c>
      <c r="Y1072">
        <v>4405505</v>
      </c>
      <c r="Z1072">
        <v>4411717</v>
      </c>
      <c r="AA1072">
        <f t="shared" si="33"/>
        <v>-5576</v>
      </c>
      <c r="AB1072">
        <f t="shared" si="32"/>
        <v>-0.89414428499726595</v>
      </c>
    </row>
    <row r="1073" spans="1:28">
      <c r="A1073" t="s">
        <v>44</v>
      </c>
      <c r="B1073" s="2">
        <v>45901</v>
      </c>
      <c r="C1073" s="2">
        <v>45870</v>
      </c>
      <c r="D1073" s="2">
        <v>45957</v>
      </c>
      <c r="E1073">
        <v>35634126</v>
      </c>
      <c r="F1073">
        <v>35822093</v>
      </c>
      <c r="G1073">
        <v>187967</v>
      </c>
      <c r="H1073">
        <v>87.31</v>
      </c>
      <c r="I1073">
        <v>240000</v>
      </c>
      <c r="J1073" t="s">
        <v>51</v>
      </c>
      <c r="K1073">
        <v>0.25</v>
      </c>
      <c r="L1073">
        <v>0.24</v>
      </c>
      <c r="M1073">
        <v>12041180</v>
      </c>
      <c r="N1073">
        <v>12033004</v>
      </c>
      <c r="O1073">
        <v>0</v>
      </c>
      <c r="P1073">
        <v>0</v>
      </c>
      <c r="Q1073">
        <v>1464721</v>
      </c>
      <c r="R1073">
        <v>1472701</v>
      </c>
      <c r="S1073">
        <v>5558768</v>
      </c>
      <c r="T1073">
        <v>5550472</v>
      </c>
      <c r="U1073">
        <v>0</v>
      </c>
      <c r="V1073">
        <v>0</v>
      </c>
      <c r="W1073">
        <v>0</v>
      </c>
      <c r="X1073">
        <v>0</v>
      </c>
      <c r="Y1073">
        <v>16569457</v>
      </c>
      <c r="Z1073">
        <v>16765916</v>
      </c>
      <c r="AA1073">
        <f t="shared" si="33"/>
        <v>7980</v>
      </c>
      <c r="AB1073">
        <f t="shared" si="32"/>
        <v>0.54481365393136305</v>
      </c>
    </row>
    <row r="1074" spans="1:28">
      <c r="A1074" t="s">
        <v>45</v>
      </c>
      <c r="B1074" s="2">
        <v>45901</v>
      </c>
      <c r="C1074" s="2">
        <v>45870</v>
      </c>
      <c r="D1074" s="2">
        <v>45957</v>
      </c>
      <c r="E1074">
        <v>33776536</v>
      </c>
      <c r="F1074">
        <v>33878614</v>
      </c>
      <c r="G1074">
        <v>102078</v>
      </c>
      <c r="H1074">
        <v>92.25</v>
      </c>
      <c r="I1074">
        <v>410000</v>
      </c>
      <c r="J1074" t="s">
        <v>51</v>
      </c>
      <c r="K1074">
        <v>0.39</v>
      </c>
      <c r="L1074">
        <v>0.41</v>
      </c>
      <c r="M1074">
        <v>12541673</v>
      </c>
      <c r="N1074">
        <v>12549702</v>
      </c>
      <c r="O1074">
        <v>6</v>
      </c>
      <c r="P1074">
        <v>6</v>
      </c>
      <c r="Q1074">
        <v>5816725</v>
      </c>
      <c r="R1074">
        <v>5759358</v>
      </c>
      <c r="S1074">
        <v>4073746</v>
      </c>
      <c r="T1074">
        <v>4081122</v>
      </c>
      <c r="U1074">
        <v>0</v>
      </c>
      <c r="V1074">
        <v>0</v>
      </c>
      <c r="W1074">
        <v>0</v>
      </c>
      <c r="X1074">
        <v>0</v>
      </c>
      <c r="Y1074">
        <v>11344386</v>
      </c>
      <c r="Z1074">
        <v>11488426</v>
      </c>
      <c r="AA1074">
        <f t="shared" si="33"/>
        <v>-57367</v>
      </c>
      <c r="AB1074">
        <f t="shared" si="32"/>
        <v>-0.98624225831546108</v>
      </c>
    </row>
    <row r="1075" spans="1:28">
      <c r="A1075" t="s">
        <v>46</v>
      </c>
      <c r="B1075" s="2">
        <v>45901</v>
      </c>
      <c r="C1075" s="2">
        <v>45870</v>
      </c>
      <c r="D1075" s="2">
        <v>45957</v>
      </c>
      <c r="E1075">
        <v>64702012</v>
      </c>
      <c r="F1075">
        <v>64627016</v>
      </c>
      <c r="G1075">
        <v>-74996</v>
      </c>
      <c r="H1075">
        <v>90.27</v>
      </c>
      <c r="I1075">
        <v>800000</v>
      </c>
      <c r="J1075" t="s">
        <v>51</v>
      </c>
      <c r="K1075">
        <v>0.8</v>
      </c>
      <c r="L1075">
        <v>0.8</v>
      </c>
      <c r="M1075">
        <v>23350479</v>
      </c>
      <c r="N1075">
        <v>23303298</v>
      </c>
      <c r="O1075">
        <v>52</v>
      </c>
      <c r="P1075">
        <v>50</v>
      </c>
      <c r="Q1075">
        <v>8804377</v>
      </c>
      <c r="R1075">
        <v>8684024</v>
      </c>
      <c r="S1075">
        <v>5706894</v>
      </c>
      <c r="T1075">
        <v>5720028</v>
      </c>
      <c r="U1075">
        <v>0</v>
      </c>
      <c r="V1075">
        <v>0</v>
      </c>
      <c r="W1075">
        <v>0</v>
      </c>
      <c r="X1075">
        <v>0</v>
      </c>
      <c r="Y1075">
        <v>26840210</v>
      </c>
      <c r="Z1075">
        <v>26919616</v>
      </c>
      <c r="AA1075">
        <f t="shared" si="33"/>
        <v>-120353</v>
      </c>
      <c r="AB1075">
        <f t="shared" si="32"/>
        <v>-1.3669678161214587</v>
      </c>
    </row>
    <row r="1076" spans="1:28">
      <c r="A1076" t="s">
        <v>47</v>
      </c>
      <c r="B1076" s="2">
        <v>45901</v>
      </c>
      <c r="C1076" s="2">
        <v>45870</v>
      </c>
      <c r="D1076" s="2">
        <v>45957</v>
      </c>
      <c r="E1076">
        <v>77738842</v>
      </c>
      <c r="F1076">
        <v>77876349</v>
      </c>
      <c r="G1076">
        <v>137507</v>
      </c>
      <c r="H1076">
        <v>81.099999999999994</v>
      </c>
      <c r="I1076">
        <v>600000</v>
      </c>
      <c r="J1076" t="s">
        <v>51</v>
      </c>
      <c r="K1076">
        <v>0.6</v>
      </c>
      <c r="L1076">
        <v>0.6</v>
      </c>
      <c r="M1076">
        <v>30791628</v>
      </c>
      <c r="N1076">
        <v>30884289</v>
      </c>
      <c r="O1076">
        <v>0</v>
      </c>
      <c r="P1076">
        <v>0</v>
      </c>
      <c r="Q1076">
        <v>14450929</v>
      </c>
      <c r="R1076">
        <v>14364237</v>
      </c>
      <c r="S1076">
        <v>7899317</v>
      </c>
      <c r="T1076">
        <v>7897520</v>
      </c>
      <c r="U1076">
        <v>0</v>
      </c>
      <c r="V1076">
        <v>0</v>
      </c>
      <c r="W1076">
        <v>0</v>
      </c>
      <c r="X1076">
        <v>0</v>
      </c>
      <c r="Y1076">
        <v>24596968</v>
      </c>
      <c r="Z1076">
        <v>24730303</v>
      </c>
      <c r="AA1076">
        <f t="shared" si="33"/>
        <v>-86692</v>
      </c>
      <c r="AB1076">
        <f t="shared" si="32"/>
        <v>-0.59990606832266635</v>
      </c>
    </row>
    <row r="1077" spans="1:28">
      <c r="A1077" t="s">
        <v>48</v>
      </c>
      <c r="B1077" s="2">
        <v>45901</v>
      </c>
      <c r="C1077" s="2">
        <v>45870</v>
      </c>
      <c r="D1077" s="2">
        <v>45957</v>
      </c>
      <c r="E1077">
        <v>103122187</v>
      </c>
      <c r="F1077">
        <v>103333823</v>
      </c>
      <c r="G1077">
        <v>211636</v>
      </c>
      <c r="H1077">
        <v>86.06</v>
      </c>
      <c r="I1077">
        <v>2080000</v>
      </c>
      <c r="J1077" t="s">
        <v>51</v>
      </c>
      <c r="K1077">
        <v>2.09</v>
      </c>
      <c r="L1077">
        <v>2.08</v>
      </c>
      <c r="M1077">
        <v>35998468</v>
      </c>
      <c r="N1077">
        <v>35831594</v>
      </c>
      <c r="O1077">
        <v>0</v>
      </c>
      <c r="P1077">
        <v>0</v>
      </c>
      <c r="Q1077">
        <v>15931810</v>
      </c>
      <c r="R1077">
        <v>15838669</v>
      </c>
      <c r="S1077">
        <v>8263805</v>
      </c>
      <c r="T1077">
        <v>8385422</v>
      </c>
      <c r="U1077">
        <v>0</v>
      </c>
      <c r="V1077">
        <v>0</v>
      </c>
      <c r="W1077">
        <v>0</v>
      </c>
      <c r="X1077">
        <v>0</v>
      </c>
      <c r="Y1077">
        <v>42928104</v>
      </c>
      <c r="Z1077">
        <v>43278138</v>
      </c>
      <c r="AA1077">
        <f t="shared" si="33"/>
        <v>-93141</v>
      </c>
      <c r="AB1077">
        <f t="shared" si="32"/>
        <v>-0.58462283946394034</v>
      </c>
    </row>
    <row r="1078" spans="1:28">
      <c r="A1078" t="s">
        <v>49</v>
      </c>
      <c r="B1078" s="2">
        <v>45901</v>
      </c>
      <c r="C1078" s="2">
        <v>45870</v>
      </c>
      <c r="D1078" s="2">
        <v>45957</v>
      </c>
      <c r="E1078">
        <v>62965835</v>
      </c>
      <c r="F1078">
        <v>63032404</v>
      </c>
      <c r="G1078">
        <v>66569</v>
      </c>
      <c r="H1078">
        <v>88.42</v>
      </c>
      <c r="I1078">
        <v>1450000</v>
      </c>
      <c r="J1078" t="s">
        <v>51</v>
      </c>
      <c r="K1078">
        <v>1.52</v>
      </c>
      <c r="L1078">
        <v>1.45</v>
      </c>
      <c r="M1078">
        <v>18851882</v>
      </c>
      <c r="N1078">
        <v>18838986</v>
      </c>
      <c r="O1078">
        <v>0</v>
      </c>
      <c r="P1078">
        <v>0</v>
      </c>
      <c r="Q1078">
        <v>14074444</v>
      </c>
      <c r="R1078">
        <v>13886112</v>
      </c>
      <c r="S1078">
        <v>5104295</v>
      </c>
      <c r="T1078">
        <v>5171470</v>
      </c>
      <c r="U1078">
        <v>0</v>
      </c>
      <c r="V1078">
        <v>0</v>
      </c>
      <c r="W1078">
        <v>0</v>
      </c>
      <c r="X1078">
        <v>0</v>
      </c>
      <c r="Y1078">
        <v>24935214</v>
      </c>
      <c r="Z1078">
        <v>25135836</v>
      </c>
      <c r="AA1078">
        <f t="shared" si="33"/>
        <v>-188332</v>
      </c>
      <c r="AB1078">
        <f t="shared" si="32"/>
        <v>-1.3381132498022656</v>
      </c>
    </row>
    <row r="1079" spans="1:28">
      <c r="A1079" t="s">
        <v>50</v>
      </c>
      <c r="B1079" s="2">
        <v>45901</v>
      </c>
      <c r="C1079" s="2">
        <v>45870</v>
      </c>
      <c r="D1079" s="2">
        <v>45957</v>
      </c>
      <c r="E1079">
        <v>57467023</v>
      </c>
      <c r="F1079">
        <v>57616358</v>
      </c>
      <c r="G1079">
        <v>149335</v>
      </c>
      <c r="H1079">
        <v>87.97</v>
      </c>
      <c r="I1079">
        <v>1120000</v>
      </c>
      <c r="J1079" t="s">
        <v>51</v>
      </c>
      <c r="K1079">
        <v>1.1200000000000001</v>
      </c>
      <c r="L1079">
        <v>1.1200000000000001</v>
      </c>
      <c r="M1079">
        <v>18438974</v>
      </c>
      <c r="N1079">
        <v>18515802</v>
      </c>
      <c r="O1079">
        <v>8</v>
      </c>
      <c r="P1079">
        <v>8</v>
      </c>
      <c r="Q1079">
        <v>11323801</v>
      </c>
      <c r="R1079">
        <v>11205365</v>
      </c>
      <c r="S1079">
        <v>2618398</v>
      </c>
      <c r="T1079">
        <v>2629799</v>
      </c>
      <c r="U1079">
        <v>0</v>
      </c>
      <c r="V1079">
        <v>0</v>
      </c>
      <c r="W1079">
        <v>0</v>
      </c>
      <c r="X1079">
        <v>0</v>
      </c>
      <c r="Y1079">
        <v>25085842</v>
      </c>
      <c r="Z1079">
        <v>25265384</v>
      </c>
      <c r="AA1079">
        <f t="shared" si="33"/>
        <v>-118436</v>
      </c>
      <c r="AB1079">
        <f t="shared" si="32"/>
        <v>-1.0459032263106709</v>
      </c>
    </row>
    <row r="1080" spans="1:28">
      <c r="A1080" t="s">
        <v>28</v>
      </c>
      <c r="B1080" s="2">
        <v>45931</v>
      </c>
      <c r="C1080" s="2">
        <v>45901</v>
      </c>
      <c r="E1080">
        <v>82767151</v>
      </c>
      <c r="F1080">
        <v>82752372</v>
      </c>
      <c r="G1080">
        <v>-14779</v>
      </c>
      <c r="H1080">
        <v>94.5</v>
      </c>
      <c r="I1080">
        <v>690000</v>
      </c>
      <c r="J1080" t="s">
        <v>51</v>
      </c>
      <c r="K1080">
        <v>0.7</v>
      </c>
      <c r="L1080">
        <v>0.69</v>
      </c>
      <c r="M1080">
        <v>34363642</v>
      </c>
      <c r="N1080">
        <v>34443470</v>
      </c>
      <c r="O1080">
        <v>0</v>
      </c>
      <c r="P1080">
        <v>0</v>
      </c>
      <c r="Q1080">
        <v>9379273</v>
      </c>
      <c r="R1080">
        <v>9198537</v>
      </c>
      <c r="S1080">
        <v>7225948</v>
      </c>
      <c r="T1080">
        <v>7335332</v>
      </c>
      <c r="U1080">
        <v>0</v>
      </c>
      <c r="V1080">
        <v>0</v>
      </c>
      <c r="W1080">
        <v>0</v>
      </c>
      <c r="X1080">
        <v>0</v>
      </c>
      <c r="Y1080">
        <v>31798288</v>
      </c>
      <c r="Z1080">
        <v>31775033</v>
      </c>
      <c r="AA1080">
        <f t="shared" si="33"/>
        <v>-180736</v>
      </c>
      <c r="AB1080">
        <f t="shared" si="32"/>
        <v>-1.9269723783495798</v>
      </c>
    </row>
    <row r="1081" spans="1:28">
      <c r="A1081" t="s">
        <v>30</v>
      </c>
      <c r="B1081" s="2">
        <v>45931</v>
      </c>
      <c r="C1081" s="2">
        <v>45901</v>
      </c>
      <c r="E1081">
        <v>26665426</v>
      </c>
      <c r="F1081">
        <v>26821533</v>
      </c>
      <c r="G1081">
        <v>156107</v>
      </c>
      <c r="H1081">
        <v>88.45</v>
      </c>
      <c r="I1081">
        <v>120000</v>
      </c>
      <c r="J1081" t="s">
        <v>51</v>
      </c>
      <c r="K1081">
        <v>0.12</v>
      </c>
      <c r="L1081">
        <v>0.12</v>
      </c>
      <c r="M1081">
        <v>12420302</v>
      </c>
      <c r="N1081">
        <v>12468673</v>
      </c>
      <c r="O1081">
        <v>0</v>
      </c>
      <c r="P1081">
        <v>0</v>
      </c>
      <c r="Q1081">
        <v>1447675</v>
      </c>
      <c r="R1081">
        <v>1452957</v>
      </c>
      <c r="S1081">
        <v>3002586</v>
      </c>
      <c r="T1081">
        <v>3003459</v>
      </c>
      <c r="U1081">
        <v>0</v>
      </c>
      <c r="V1081">
        <v>0</v>
      </c>
      <c r="W1081">
        <v>0</v>
      </c>
      <c r="X1081">
        <v>0</v>
      </c>
      <c r="Y1081">
        <v>9794863</v>
      </c>
      <c r="Z1081">
        <v>9896444</v>
      </c>
      <c r="AA1081">
        <f t="shared" si="33"/>
        <v>5282</v>
      </c>
      <c r="AB1081">
        <f t="shared" si="32"/>
        <v>0.36486089764622587</v>
      </c>
    </row>
    <row r="1082" spans="1:28">
      <c r="A1082" t="s">
        <v>31</v>
      </c>
      <c r="B1082" s="2">
        <v>45931</v>
      </c>
      <c r="C1082" s="2">
        <v>45901</v>
      </c>
      <c r="E1082">
        <v>97785042</v>
      </c>
      <c r="F1082">
        <v>98086498</v>
      </c>
      <c r="G1082">
        <v>301456</v>
      </c>
      <c r="H1082">
        <v>86.81</v>
      </c>
      <c r="I1082">
        <v>1270000</v>
      </c>
      <c r="J1082" t="s">
        <v>51</v>
      </c>
      <c r="K1082">
        <v>1.41</v>
      </c>
      <c r="L1082">
        <v>1.27</v>
      </c>
      <c r="M1082">
        <v>41104423</v>
      </c>
      <c r="N1082">
        <v>41248348</v>
      </c>
      <c r="O1082">
        <v>0</v>
      </c>
      <c r="P1082">
        <v>0</v>
      </c>
      <c r="Q1082">
        <v>7834785</v>
      </c>
      <c r="R1082">
        <v>7685423</v>
      </c>
      <c r="S1082">
        <v>5668882</v>
      </c>
      <c r="T1082">
        <v>5661772</v>
      </c>
      <c r="U1082">
        <v>0</v>
      </c>
      <c r="V1082">
        <v>0</v>
      </c>
      <c r="W1082">
        <v>0</v>
      </c>
      <c r="X1082">
        <v>0</v>
      </c>
      <c r="Y1082">
        <v>43176952</v>
      </c>
      <c r="Z1082">
        <v>43490955</v>
      </c>
      <c r="AA1082">
        <f t="shared" si="33"/>
        <v>-149362</v>
      </c>
      <c r="AB1082">
        <f t="shared" si="32"/>
        <v>-1.9063956445518289</v>
      </c>
    </row>
    <row r="1083" spans="1:28">
      <c r="A1083" t="s">
        <v>32</v>
      </c>
      <c r="B1083" s="2">
        <v>45931</v>
      </c>
      <c r="C1083" s="2">
        <v>45901</v>
      </c>
      <c r="E1083">
        <v>56636918</v>
      </c>
      <c r="F1083">
        <v>56231093</v>
      </c>
      <c r="G1083">
        <v>-405825</v>
      </c>
      <c r="H1083">
        <v>52.62</v>
      </c>
      <c r="I1083">
        <v>660000</v>
      </c>
      <c r="J1083" t="s">
        <v>51</v>
      </c>
      <c r="K1083">
        <v>0.75</v>
      </c>
      <c r="L1083">
        <v>0.66</v>
      </c>
      <c r="M1083">
        <v>19167041</v>
      </c>
      <c r="N1083">
        <v>19214168</v>
      </c>
      <c r="O1083">
        <v>2</v>
      </c>
      <c r="P1083">
        <v>2</v>
      </c>
      <c r="Q1083">
        <v>17025337</v>
      </c>
      <c r="R1083">
        <v>16598440</v>
      </c>
      <c r="S1083">
        <v>0</v>
      </c>
      <c r="T1083">
        <v>0</v>
      </c>
      <c r="U1083">
        <v>0</v>
      </c>
      <c r="V1083">
        <v>0</v>
      </c>
      <c r="W1083">
        <v>139856</v>
      </c>
      <c r="X1083">
        <v>139399</v>
      </c>
      <c r="Y1083">
        <v>20304682</v>
      </c>
      <c r="Z1083">
        <v>20279084</v>
      </c>
      <c r="AA1083">
        <f t="shared" si="33"/>
        <v>-426897</v>
      </c>
      <c r="AB1083">
        <f t="shared" si="32"/>
        <v>-2.5074217326799464</v>
      </c>
    </row>
    <row r="1084" spans="1:28">
      <c r="A1084" t="s">
        <v>33</v>
      </c>
      <c r="B1084" s="2">
        <v>45931</v>
      </c>
      <c r="C1084" s="2">
        <v>45901</v>
      </c>
      <c r="E1084">
        <v>67101455</v>
      </c>
      <c r="F1084">
        <v>66718563</v>
      </c>
      <c r="G1084">
        <v>-382892</v>
      </c>
      <c r="H1084">
        <v>92.7</v>
      </c>
      <c r="I1084">
        <v>980000</v>
      </c>
      <c r="J1084" t="s">
        <v>51</v>
      </c>
      <c r="K1084">
        <v>1.02</v>
      </c>
      <c r="L1084">
        <v>0.98</v>
      </c>
      <c r="M1084">
        <v>12650628</v>
      </c>
      <c r="N1084">
        <v>12732415</v>
      </c>
      <c r="O1084">
        <v>1</v>
      </c>
      <c r="P1084">
        <v>1</v>
      </c>
      <c r="Q1084">
        <v>19430077</v>
      </c>
      <c r="R1084">
        <v>19113909</v>
      </c>
      <c r="S1084">
        <v>3287659</v>
      </c>
      <c r="T1084">
        <v>3295586</v>
      </c>
      <c r="U1084">
        <v>0</v>
      </c>
      <c r="V1084">
        <v>0</v>
      </c>
      <c r="W1084">
        <v>0</v>
      </c>
      <c r="X1084">
        <v>0</v>
      </c>
      <c r="Y1084">
        <v>31733090</v>
      </c>
      <c r="Z1084">
        <v>31576652</v>
      </c>
      <c r="AA1084">
        <f t="shared" si="33"/>
        <v>-316168</v>
      </c>
      <c r="AB1084">
        <f t="shared" si="32"/>
        <v>-1.6272091973696243</v>
      </c>
    </row>
    <row r="1085" spans="1:28">
      <c r="A1085" t="s">
        <v>34</v>
      </c>
      <c r="B1085" s="2">
        <v>45931</v>
      </c>
      <c r="C1085" s="2">
        <v>45901</v>
      </c>
      <c r="E1085">
        <v>26450307</v>
      </c>
      <c r="F1085">
        <v>26431846</v>
      </c>
      <c r="G1085">
        <v>-18461</v>
      </c>
      <c r="H1085">
        <v>92.69</v>
      </c>
      <c r="I1085">
        <v>430000</v>
      </c>
      <c r="J1085" t="s">
        <v>51</v>
      </c>
      <c r="K1085">
        <v>0.45</v>
      </c>
      <c r="L1085">
        <v>0.43</v>
      </c>
      <c r="M1085">
        <v>7401581</v>
      </c>
      <c r="N1085">
        <v>7444847</v>
      </c>
      <c r="O1085">
        <v>0</v>
      </c>
      <c r="P1085">
        <v>0</v>
      </c>
      <c r="Q1085">
        <v>6239824</v>
      </c>
      <c r="R1085">
        <v>6209165</v>
      </c>
      <c r="S1085">
        <v>4391910</v>
      </c>
      <c r="T1085">
        <v>4423576</v>
      </c>
      <c r="U1085">
        <v>0</v>
      </c>
      <c r="V1085">
        <v>0</v>
      </c>
      <c r="W1085">
        <v>0</v>
      </c>
      <c r="X1085">
        <v>0</v>
      </c>
      <c r="Y1085">
        <v>8416992</v>
      </c>
      <c r="Z1085">
        <v>8354258</v>
      </c>
      <c r="AA1085">
        <f t="shared" si="33"/>
        <v>-30659</v>
      </c>
      <c r="AB1085">
        <f t="shared" si="32"/>
        <v>-0.4913439866252638</v>
      </c>
    </row>
    <row r="1086" spans="1:28">
      <c r="A1086" t="s">
        <v>35</v>
      </c>
      <c r="B1086" s="2">
        <v>45931</v>
      </c>
      <c r="C1086" s="2">
        <v>45901</v>
      </c>
      <c r="E1086">
        <v>9135242</v>
      </c>
      <c r="F1086">
        <v>9129771</v>
      </c>
      <c r="G1086">
        <v>-5471</v>
      </c>
      <c r="H1086">
        <v>99.16</v>
      </c>
      <c r="I1086">
        <v>50000</v>
      </c>
      <c r="J1086" t="s">
        <v>51</v>
      </c>
      <c r="K1086">
        <v>0.06</v>
      </c>
      <c r="L1086">
        <v>0.05</v>
      </c>
      <c r="M1086">
        <v>3637680</v>
      </c>
      <c r="N1086">
        <v>3623693</v>
      </c>
      <c r="O1086">
        <v>0</v>
      </c>
      <c r="P1086">
        <v>0</v>
      </c>
      <c r="Q1086">
        <v>387143</v>
      </c>
      <c r="R1086">
        <v>385878</v>
      </c>
      <c r="S1086">
        <v>1750572</v>
      </c>
      <c r="T1086">
        <v>1759107</v>
      </c>
      <c r="U1086">
        <v>0</v>
      </c>
      <c r="V1086">
        <v>0</v>
      </c>
      <c r="W1086">
        <v>0</v>
      </c>
      <c r="X1086">
        <v>0</v>
      </c>
      <c r="Y1086">
        <v>3359847</v>
      </c>
      <c r="Z1086">
        <v>3361093</v>
      </c>
      <c r="AA1086">
        <f t="shared" si="33"/>
        <v>-1265</v>
      </c>
      <c r="AB1086">
        <f t="shared" si="32"/>
        <v>-0.32675264695474282</v>
      </c>
    </row>
    <row r="1087" spans="1:28">
      <c r="A1087" t="s">
        <v>36</v>
      </c>
      <c r="B1087" s="2">
        <v>45931</v>
      </c>
      <c r="C1087" s="2">
        <v>45901</v>
      </c>
      <c r="E1087">
        <v>12702413</v>
      </c>
      <c r="F1087">
        <v>12706283</v>
      </c>
      <c r="G1087">
        <v>3870</v>
      </c>
      <c r="H1087">
        <v>85.23</v>
      </c>
      <c r="I1087">
        <v>60000</v>
      </c>
      <c r="J1087" t="s">
        <v>51</v>
      </c>
      <c r="K1087">
        <v>7.0000000000000007E-2</v>
      </c>
      <c r="L1087">
        <v>0.06</v>
      </c>
      <c r="M1087">
        <v>6329892</v>
      </c>
      <c r="N1087">
        <v>6339919</v>
      </c>
      <c r="O1087">
        <v>0</v>
      </c>
      <c r="P1087">
        <v>0</v>
      </c>
      <c r="Q1087">
        <v>253008</v>
      </c>
      <c r="R1087">
        <v>251568</v>
      </c>
      <c r="S1087">
        <v>864383</v>
      </c>
      <c r="T1087">
        <v>864947</v>
      </c>
      <c r="U1087">
        <v>0</v>
      </c>
      <c r="V1087">
        <v>0</v>
      </c>
      <c r="W1087">
        <v>0</v>
      </c>
      <c r="X1087">
        <v>0</v>
      </c>
      <c r="Y1087">
        <v>5255130</v>
      </c>
      <c r="Z1087">
        <v>5249849</v>
      </c>
      <c r="AA1087">
        <f t="shared" si="33"/>
        <v>-1440</v>
      </c>
      <c r="AB1087">
        <f t="shared" si="32"/>
        <v>-0.56915196357427433</v>
      </c>
    </row>
    <row r="1088" spans="1:28">
      <c r="A1088" t="s">
        <v>37</v>
      </c>
      <c r="B1088" s="2">
        <v>45931</v>
      </c>
      <c r="C1088" s="2">
        <v>45901</v>
      </c>
      <c r="E1088">
        <v>69948653</v>
      </c>
      <c r="F1088">
        <v>70329956</v>
      </c>
      <c r="G1088">
        <v>381303</v>
      </c>
      <c r="H1088">
        <v>70.91</v>
      </c>
      <c r="I1088">
        <v>620000</v>
      </c>
      <c r="J1088" t="s">
        <v>51</v>
      </c>
      <c r="K1088">
        <v>0.63</v>
      </c>
      <c r="L1088">
        <v>0.62</v>
      </c>
      <c r="M1088">
        <v>32550788</v>
      </c>
      <c r="N1088">
        <v>32596945</v>
      </c>
      <c r="O1088">
        <v>392</v>
      </c>
      <c r="P1088">
        <v>383</v>
      </c>
      <c r="Q1088">
        <v>7124815</v>
      </c>
      <c r="R1088">
        <v>7281360</v>
      </c>
      <c r="S1088">
        <v>4621271</v>
      </c>
      <c r="T1088">
        <v>4653548</v>
      </c>
      <c r="U1088">
        <v>0</v>
      </c>
      <c r="V1088">
        <v>0</v>
      </c>
      <c r="W1088">
        <v>0</v>
      </c>
      <c r="X1088">
        <v>0</v>
      </c>
      <c r="Y1088">
        <v>25651387</v>
      </c>
      <c r="Z1088">
        <v>25797720</v>
      </c>
      <c r="AA1088">
        <f t="shared" si="33"/>
        <v>156545</v>
      </c>
      <c r="AB1088">
        <f t="shared" si="32"/>
        <v>2.1971798565997855</v>
      </c>
    </row>
    <row r="1089" spans="1:28">
      <c r="A1089" t="s">
        <v>38</v>
      </c>
      <c r="B1089" s="2">
        <v>45931</v>
      </c>
      <c r="C1089" s="2">
        <v>45901</v>
      </c>
      <c r="E1089">
        <v>41859897</v>
      </c>
      <c r="F1089">
        <v>41848377</v>
      </c>
      <c r="G1089">
        <v>-11520</v>
      </c>
      <c r="H1089">
        <v>93.27</v>
      </c>
      <c r="I1089">
        <v>260000</v>
      </c>
      <c r="J1089" t="s">
        <v>51</v>
      </c>
      <c r="K1089">
        <v>0.25</v>
      </c>
      <c r="L1089">
        <v>0.26</v>
      </c>
      <c r="M1089">
        <v>9236441</v>
      </c>
      <c r="N1089">
        <v>9235215</v>
      </c>
      <c r="O1089">
        <v>4</v>
      </c>
      <c r="P1089">
        <v>3</v>
      </c>
      <c r="Q1089">
        <v>12763783</v>
      </c>
      <c r="R1089">
        <v>12741962</v>
      </c>
      <c r="S1089">
        <v>8912373</v>
      </c>
      <c r="T1089">
        <v>8931766</v>
      </c>
      <c r="U1089">
        <v>0</v>
      </c>
      <c r="V1089">
        <v>0</v>
      </c>
      <c r="W1089">
        <v>0</v>
      </c>
      <c r="X1089">
        <v>0</v>
      </c>
      <c r="Y1089">
        <v>10947296</v>
      </c>
      <c r="Z1089">
        <v>10939431</v>
      </c>
      <c r="AA1089">
        <f t="shared" si="33"/>
        <v>-21821</v>
      </c>
      <c r="AB1089">
        <f t="shared" si="32"/>
        <v>-0.17096028661721999</v>
      </c>
    </row>
    <row r="1090" spans="1:28">
      <c r="A1090" t="s">
        <v>39</v>
      </c>
      <c r="B1090" s="2">
        <v>45931</v>
      </c>
      <c r="C1090" s="2">
        <v>45901</v>
      </c>
      <c r="E1090">
        <v>22335018</v>
      </c>
      <c r="F1090">
        <v>22252084</v>
      </c>
      <c r="G1090">
        <v>-82934</v>
      </c>
      <c r="H1090">
        <v>87.4</v>
      </c>
      <c r="I1090">
        <v>190000</v>
      </c>
      <c r="J1090" t="s">
        <v>51</v>
      </c>
      <c r="K1090">
        <v>0.19</v>
      </c>
      <c r="L1090">
        <v>0.19</v>
      </c>
      <c r="M1090">
        <v>5288622</v>
      </c>
      <c r="N1090">
        <v>5267279</v>
      </c>
      <c r="O1090">
        <v>0</v>
      </c>
      <c r="P1090">
        <v>0</v>
      </c>
      <c r="Q1090">
        <v>4749947</v>
      </c>
      <c r="R1090">
        <v>4700853</v>
      </c>
      <c r="S1090">
        <v>1421518</v>
      </c>
      <c r="T1090">
        <v>1415911</v>
      </c>
      <c r="U1090">
        <v>0</v>
      </c>
      <c r="V1090">
        <v>0</v>
      </c>
      <c r="W1090">
        <v>0</v>
      </c>
      <c r="X1090">
        <v>0</v>
      </c>
      <c r="Y1090">
        <v>10874931</v>
      </c>
      <c r="Z1090">
        <v>10868041</v>
      </c>
      <c r="AA1090">
        <f t="shared" si="33"/>
        <v>-49094</v>
      </c>
      <c r="AB1090">
        <f t="shared" si="32"/>
        <v>-1.0335694271957141</v>
      </c>
    </row>
    <row r="1091" spans="1:28">
      <c r="A1091" t="s">
        <v>40</v>
      </c>
      <c r="B1091" s="2">
        <v>45931</v>
      </c>
      <c r="C1091" s="2">
        <v>45901</v>
      </c>
      <c r="E1091">
        <v>82160973</v>
      </c>
      <c r="F1091">
        <v>82552445</v>
      </c>
      <c r="G1091">
        <v>391472</v>
      </c>
      <c r="H1091">
        <v>86.05</v>
      </c>
      <c r="I1091">
        <v>1400000</v>
      </c>
      <c r="J1091" t="s">
        <v>51</v>
      </c>
      <c r="K1091">
        <v>1.39</v>
      </c>
      <c r="L1091">
        <v>1.4</v>
      </c>
      <c r="M1091">
        <v>16801295</v>
      </c>
      <c r="N1091">
        <v>16828095</v>
      </c>
      <c r="O1091">
        <v>0</v>
      </c>
      <c r="P1091">
        <v>0</v>
      </c>
      <c r="Q1091">
        <v>13100708</v>
      </c>
      <c r="R1091">
        <v>12988382</v>
      </c>
      <c r="S1091">
        <v>5105300</v>
      </c>
      <c r="T1091">
        <v>5128929</v>
      </c>
      <c r="U1091">
        <v>0</v>
      </c>
      <c r="V1091">
        <v>0</v>
      </c>
      <c r="W1091">
        <v>0</v>
      </c>
      <c r="X1091">
        <v>0</v>
      </c>
      <c r="Y1091">
        <v>47153670</v>
      </c>
      <c r="Z1091">
        <v>47607039</v>
      </c>
      <c r="AA1091">
        <f t="shared" si="33"/>
        <v>-112326</v>
      </c>
      <c r="AB1091">
        <f t="shared" ref="AB1091:AB1154" si="34">(($R1091-$Q1091)/$Q1091)*100</f>
        <v>-0.85740404259067526</v>
      </c>
    </row>
    <row r="1092" spans="1:28">
      <c r="A1092" t="s">
        <v>41</v>
      </c>
      <c r="B1092" s="2">
        <v>45931</v>
      </c>
      <c r="C1092" s="2">
        <v>45901</v>
      </c>
      <c r="E1092">
        <v>91644217</v>
      </c>
      <c r="F1092">
        <v>92329859</v>
      </c>
      <c r="G1092">
        <v>685642</v>
      </c>
      <c r="H1092">
        <v>93.05</v>
      </c>
      <c r="I1092">
        <v>1080000</v>
      </c>
      <c r="J1092" t="s">
        <v>51</v>
      </c>
      <c r="K1092">
        <v>1.06</v>
      </c>
      <c r="L1092">
        <v>1.08</v>
      </c>
      <c r="M1092">
        <v>22969710</v>
      </c>
      <c r="N1092">
        <v>23144905</v>
      </c>
      <c r="O1092">
        <v>0</v>
      </c>
      <c r="P1092">
        <v>0</v>
      </c>
      <c r="Q1092">
        <v>20462963</v>
      </c>
      <c r="R1092">
        <v>20496736</v>
      </c>
      <c r="S1092">
        <v>5304322</v>
      </c>
      <c r="T1092">
        <v>5310770</v>
      </c>
      <c r="U1092">
        <v>0</v>
      </c>
      <c r="V1092">
        <v>0</v>
      </c>
      <c r="W1092">
        <v>0</v>
      </c>
      <c r="X1092">
        <v>0</v>
      </c>
      <c r="Y1092">
        <v>42907222</v>
      </c>
      <c r="Z1092">
        <v>43377448</v>
      </c>
      <c r="AA1092">
        <f t="shared" ref="AA1092:AA1155" si="35">$R1092-$Q1092</f>
        <v>33773</v>
      </c>
      <c r="AB1092">
        <f t="shared" si="34"/>
        <v>0.16504452458815472</v>
      </c>
    </row>
    <row r="1093" spans="1:28">
      <c r="A1093" t="s">
        <v>42</v>
      </c>
      <c r="B1093" s="2">
        <v>45931</v>
      </c>
      <c r="C1093" s="2">
        <v>45901</v>
      </c>
      <c r="E1093">
        <v>34293204</v>
      </c>
      <c r="F1093">
        <v>34191093</v>
      </c>
      <c r="G1093">
        <v>-102111</v>
      </c>
      <c r="H1093">
        <v>70.790000000000006</v>
      </c>
      <c r="I1093">
        <v>270000</v>
      </c>
      <c r="J1093" t="s">
        <v>51</v>
      </c>
      <c r="K1093">
        <v>0.28000000000000003</v>
      </c>
      <c r="L1093">
        <v>0.27</v>
      </c>
      <c r="M1093">
        <v>10075231</v>
      </c>
      <c r="N1093">
        <v>10068845</v>
      </c>
      <c r="O1093">
        <v>50</v>
      </c>
      <c r="P1093">
        <v>68</v>
      </c>
      <c r="Q1093">
        <v>10778948</v>
      </c>
      <c r="R1093">
        <v>10756146</v>
      </c>
      <c r="S1093">
        <v>0</v>
      </c>
      <c r="T1093">
        <v>0</v>
      </c>
      <c r="U1093">
        <v>0</v>
      </c>
      <c r="V1093">
        <v>0</v>
      </c>
      <c r="W1093">
        <v>105785</v>
      </c>
      <c r="X1093">
        <v>104013</v>
      </c>
      <c r="Y1093">
        <v>13333190</v>
      </c>
      <c r="Z1093">
        <v>13262021</v>
      </c>
      <c r="AA1093">
        <f t="shared" si="35"/>
        <v>-22802</v>
      </c>
      <c r="AB1093">
        <f t="shared" si="34"/>
        <v>-0.21154197979246211</v>
      </c>
    </row>
    <row r="1094" spans="1:28">
      <c r="A1094" t="s">
        <v>43</v>
      </c>
      <c r="B1094" s="2">
        <v>45931</v>
      </c>
      <c r="C1094" s="2">
        <v>45901</v>
      </c>
      <c r="E1094">
        <v>12768069</v>
      </c>
      <c r="F1094">
        <v>12779870</v>
      </c>
      <c r="G1094">
        <v>11801</v>
      </c>
      <c r="H1094">
        <v>94.55</v>
      </c>
      <c r="I1094">
        <v>30000</v>
      </c>
      <c r="J1094" t="s">
        <v>51</v>
      </c>
      <c r="K1094">
        <v>0.03</v>
      </c>
      <c r="L1094">
        <v>0.03</v>
      </c>
      <c r="M1094">
        <v>6458088</v>
      </c>
      <c r="N1094">
        <v>6462922</v>
      </c>
      <c r="O1094">
        <v>0</v>
      </c>
      <c r="P1094">
        <v>0</v>
      </c>
      <c r="Q1094">
        <v>618037</v>
      </c>
      <c r="R1094">
        <v>613933</v>
      </c>
      <c r="S1094">
        <v>1280227</v>
      </c>
      <c r="T1094">
        <v>1284548</v>
      </c>
      <c r="U1094">
        <v>0</v>
      </c>
      <c r="V1094">
        <v>0</v>
      </c>
      <c r="W1094">
        <v>0</v>
      </c>
      <c r="X1094">
        <v>0</v>
      </c>
      <c r="Y1094">
        <v>4411717</v>
      </c>
      <c r="Z1094">
        <v>4418467</v>
      </c>
      <c r="AA1094">
        <f t="shared" si="35"/>
        <v>-4104</v>
      </c>
      <c r="AB1094">
        <f t="shared" si="34"/>
        <v>-0.66403791358769781</v>
      </c>
    </row>
    <row r="1095" spans="1:28">
      <c r="A1095" t="s">
        <v>44</v>
      </c>
      <c r="B1095" s="2">
        <v>45931</v>
      </c>
      <c r="C1095" s="2">
        <v>45901</v>
      </c>
      <c r="E1095">
        <v>35822093</v>
      </c>
      <c r="F1095">
        <v>35981902</v>
      </c>
      <c r="G1095">
        <v>159809</v>
      </c>
      <c r="H1095">
        <v>85.45</v>
      </c>
      <c r="I1095">
        <v>250000</v>
      </c>
      <c r="J1095" t="s">
        <v>51</v>
      </c>
      <c r="K1095">
        <v>0.24</v>
      </c>
      <c r="L1095">
        <v>0.25</v>
      </c>
      <c r="M1095">
        <v>12033004</v>
      </c>
      <c r="N1095">
        <v>12030483</v>
      </c>
      <c r="O1095">
        <v>0</v>
      </c>
      <c r="P1095">
        <v>0</v>
      </c>
      <c r="Q1095">
        <v>1472701</v>
      </c>
      <c r="R1095">
        <v>1487341</v>
      </c>
      <c r="S1095">
        <v>5550472</v>
      </c>
      <c r="T1095">
        <v>5530388</v>
      </c>
      <c r="U1095">
        <v>0</v>
      </c>
      <c r="V1095">
        <v>0</v>
      </c>
      <c r="W1095">
        <v>0</v>
      </c>
      <c r="X1095">
        <v>0</v>
      </c>
      <c r="Y1095">
        <v>16765916</v>
      </c>
      <c r="Z1095">
        <v>16933690</v>
      </c>
      <c r="AA1095">
        <f t="shared" si="35"/>
        <v>14640</v>
      </c>
      <c r="AB1095">
        <f t="shared" si="34"/>
        <v>0.9940918081810225</v>
      </c>
    </row>
    <row r="1096" spans="1:28">
      <c r="A1096" t="s">
        <v>45</v>
      </c>
      <c r="B1096" s="2">
        <v>45931</v>
      </c>
      <c r="C1096" s="2">
        <v>45901</v>
      </c>
      <c r="E1096">
        <v>33878614</v>
      </c>
      <c r="F1096">
        <v>33866840</v>
      </c>
      <c r="G1096">
        <v>-11774</v>
      </c>
      <c r="H1096">
        <v>91.64</v>
      </c>
      <c r="I1096">
        <v>380000</v>
      </c>
      <c r="J1096" t="s">
        <v>51</v>
      </c>
      <c r="K1096">
        <v>0.41</v>
      </c>
      <c r="L1096">
        <v>0.38</v>
      </c>
      <c r="M1096">
        <v>12549702</v>
      </c>
      <c r="N1096">
        <v>12620777</v>
      </c>
      <c r="O1096">
        <v>6</v>
      </c>
      <c r="P1096">
        <v>5</v>
      </c>
      <c r="Q1096">
        <v>5759358</v>
      </c>
      <c r="R1096">
        <v>5705799</v>
      </c>
      <c r="S1096">
        <v>4081122</v>
      </c>
      <c r="T1096">
        <v>4088155</v>
      </c>
      <c r="U1096">
        <v>0</v>
      </c>
      <c r="V1096">
        <v>0</v>
      </c>
      <c r="W1096">
        <v>0</v>
      </c>
      <c r="X1096">
        <v>0</v>
      </c>
      <c r="Y1096">
        <v>11488426</v>
      </c>
      <c r="Z1096">
        <v>11452104</v>
      </c>
      <c r="AA1096">
        <f t="shared" si="35"/>
        <v>-53559</v>
      </c>
      <c r="AB1096">
        <f t="shared" si="34"/>
        <v>-0.92994740038733481</v>
      </c>
    </row>
    <row r="1097" spans="1:28">
      <c r="A1097" t="s">
        <v>46</v>
      </c>
      <c r="B1097" s="2">
        <v>45931</v>
      </c>
      <c r="C1097" s="2">
        <v>45901</v>
      </c>
      <c r="E1097">
        <v>64627016</v>
      </c>
      <c r="F1097">
        <v>64699529</v>
      </c>
      <c r="G1097">
        <v>72513</v>
      </c>
      <c r="H1097">
        <v>92.8</v>
      </c>
      <c r="I1097">
        <v>780000</v>
      </c>
      <c r="J1097" t="s">
        <v>51</v>
      </c>
      <c r="K1097">
        <v>0.8</v>
      </c>
      <c r="L1097">
        <v>0.78</v>
      </c>
      <c r="M1097">
        <v>23303298</v>
      </c>
      <c r="N1097">
        <v>23360767</v>
      </c>
      <c r="O1097">
        <v>50</v>
      </c>
      <c r="P1097">
        <v>50</v>
      </c>
      <c r="Q1097">
        <v>8684024</v>
      </c>
      <c r="R1097">
        <v>8571497</v>
      </c>
      <c r="S1097">
        <v>5720028</v>
      </c>
      <c r="T1097">
        <v>5731546</v>
      </c>
      <c r="U1097">
        <v>0</v>
      </c>
      <c r="V1097">
        <v>0</v>
      </c>
      <c r="W1097">
        <v>0</v>
      </c>
      <c r="X1097">
        <v>0</v>
      </c>
      <c r="Y1097">
        <v>26919616</v>
      </c>
      <c r="Z1097">
        <v>27035669</v>
      </c>
      <c r="AA1097">
        <f t="shared" si="35"/>
        <v>-112527</v>
      </c>
      <c r="AB1097">
        <f t="shared" si="34"/>
        <v>-1.2957932866145925</v>
      </c>
    </row>
    <row r="1098" spans="1:28">
      <c r="A1098" t="s">
        <v>47</v>
      </c>
      <c r="B1098" s="2">
        <v>45931</v>
      </c>
      <c r="C1098" s="2">
        <v>45901</v>
      </c>
      <c r="E1098">
        <v>77876349</v>
      </c>
      <c r="F1098">
        <v>77952517</v>
      </c>
      <c r="G1098">
        <v>76168</v>
      </c>
      <c r="H1098">
        <v>80.17</v>
      </c>
      <c r="I1098">
        <v>570000</v>
      </c>
      <c r="J1098" t="s">
        <v>51</v>
      </c>
      <c r="K1098">
        <v>0.6</v>
      </c>
      <c r="L1098">
        <v>0.56999999999999995</v>
      </c>
      <c r="M1098">
        <v>30884289</v>
      </c>
      <c r="N1098">
        <v>30983605</v>
      </c>
      <c r="O1098">
        <v>0</v>
      </c>
      <c r="P1098">
        <v>0</v>
      </c>
      <c r="Q1098">
        <v>14364237</v>
      </c>
      <c r="R1098">
        <v>14324828</v>
      </c>
      <c r="S1098">
        <v>7897520</v>
      </c>
      <c r="T1098">
        <v>7910011</v>
      </c>
      <c r="U1098">
        <v>0</v>
      </c>
      <c r="V1098">
        <v>0</v>
      </c>
      <c r="W1098">
        <v>0</v>
      </c>
      <c r="X1098">
        <v>0</v>
      </c>
      <c r="Y1098">
        <v>24730303</v>
      </c>
      <c r="Z1098">
        <v>24734073</v>
      </c>
      <c r="AA1098">
        <f t="shared" si="35"/>
        <v>-39409</v>
      </c>
      <c r="AB1098">
        <f t="shared" si="34"/>
        <v>-0.27435498314320489</v>
      </c>
    </row>
    <row r="1099" spans="1:28">
      <c r="A1099" t="s">
        <v>48</v>
      </c>
      <c r="B1099" s="2">
        <v>45931</v>
      </c>
      <c r="C1099" s="2">
        <v>45901</v>
      </c>
      <c r="E1099">
        <v>103333823</v>
      </c>
      <c r="F1099">
        <v>103955642</v>
      </c>
      <c r="G1099">
        <v>621819</v>
      </c>
      <c r="H1099">
        <v>88.24</v>
      </c>
      <c r="I1099">
        <v>2240000</v>
      </c>
      <c r="J1099" t="s">
        <v>51</v>
      </c>
      <c r="K1099">
        <v>2.08</v>
      </c>
      <c r="L1099">
        <v>2.2400000000000002</v>
      </c>
      <c r="M1099">
        <v>35831594</v>
      </c>
      <c r="N1099">
        <v>35979827</v>
      </c>
      <c r="O1099">
        <v>0</v>
      </c>
      <c r="P1099">
        <v>0</v>
      </c>
      <c r="Q1099">
        <v>15838669</v>
      </c>
      <c r="R1099">
        <v>15744055</v>
      </c>
      <c r="S1099">
        <v>8385422</v>
      </c>
      <c r="T1099">
        <v>8403483</v>
      </c>
      <c r="U1099">
        <v>0</v>
      </c>
      <c r="V1099">
        <v>0</v>
      </c>
      <c r="W1099">
        <v>0</v>
      </c>
      <c r="X1099">
        <v>0</v>
      </c>
      <c r="Y1099">
        <v>43278138</v>
      </c>
      <c r="Z1099">
        <v>43828277</v>
      </c>
      <c r="AA1099">
        <f t="shared" si="35"/>
        <v>-94614</v>
      </c>
      <c r="AB1099">
        <f t="shared" si="34"/>
        <v>-0.59736080096124233</v>
      </c>
    </row>
    <row r="1100" spans="1:28">
      <c r="A1100" t="s">
        <v>49</v>
      </c>
      <c r="B1100" s="2">
        <v>45931</v>
      </c>
      <c r="C1100" s="2">
        <v>45901</v>
      </c>
      <c r="E1100">
        <v>63032404</v>
      </c>
      <c r="F1100">
        <v>62735862</v>
      </c>
      <c r="G1100">
        <v>-296542</v>
      </c>
      <c r="H1100">
        <v>92.53</v>
      </c>
      <c r="I1100">
        <v>1470000</v>
      </c>
      <c r="J1100" t="s">
        <v>51</v>
      </c>
      <c r="K1100">
        <v>1.45</v>
      </c>
      <c r="L1100">
        <v>1.47</v>
      </c>
      <c r="M1100">
        <v>18838986</v>
      </c>
      <c r="N1100">
        <v>18981227</v>
      </c>
      <c r="O1100">
        <v>0</v>
      </c>
      <c r="P1100">
        <v>0</v>
      </c>
      <c r="Q1100">
        <v>13886112</v>
      </c>
      <c r="R1100">
        <v>13458556</v>
      </c>
      <c r="S1100">
        <v>5171470</v>
      </c>
      <c r="T1100">
        <v>5171874</v>
      </c>
      <c r="U1100">
        <v>0</v>
      </c>
      <c r="V1100">
        <v>0</v>
      </c>
      <c r="W1100">
        <v>0</v>
      </c>
      <c r="X1100">
        <v>0</v>
      </c>
      <c r="Y1100">
        <v>25135836</v>
      </c>
      <c r="Z1100">
        <v>25124205</v>
      </c>
      <c r="AA1100">
        <f t="shared" si="35"/>
        <v>-427556</v>
      </c>
      <c r="AB1100">
        <f t="shared" si="34"/>
        <v>-3.0790188067041373</v>
      </c>
    </row>
    <row r="1101" spans="1:28">
      <c r="A1101" t="s">
        <v>50</v>
      </c>
      <c r="B1101" s="2">
        <v>45931</v>
      </c>
      <c r="C1101" s="2">
        <v>45901</v>
      </c>
      <c r="E1101">
        <v>57616358</v>
      </c>
      <c r="F1101">
        <v>57520800</v>
      </c>
      <c r="G1101">
        <v>-95558</v>
      </c>
      <c r="H1101">
        <v>89.35</v>
      </c>
      <c r="I1101">
        <v>1240000</v>
      </c>
      <c r="J1101" t="s">
        <v>51</v>
      </c>
      <c r="K1101">
        <v>1.1200000000000001</v>
      </c>
      <c r="L1101">
        <v>1.24</v>
      </c>
      <c r="M1101">
        <v>18515802</v>
      </c>
      <c r="N1101">
        <v>18588488</v>
      </c>
      <c r="O1101">
        <v>8</v>
      </c>
      <c r="P1101">
        <v>9</v>
      </c>
      <c r="Q1101">
        <v>11205365</v>
      </c>
      <c r="R1101">
        <v>10955846</v>
      </c>
      <c r="S1101">
        <v>2629799</v>
      </c>
      <c r="T1101">
        <v>2637291</v>
      </c>
      <c r="U1101">
        <v>0</v>
      </c>
      <c r="V1101">
        <v>0</v>
      </c>
      <c r="W1101">
        <v>0</v>
      </c>
      <c r="X1101">
        <v>0</v>
      </c>
      <c r="Y1101">
        <v>25265384</v>
      </c>
      <c r="Z1101">
        <v>25339166</v>
      </c>
      <c r="AA1101">
        <f t="shared" si="35"/>
        <v>-249519</v>
      </c>
      <c r="AB1101">
        <f t="shared" si="34"/>
        <v>-2.2267815461611469</v>
      </c>
    </row>
    <row r="1102" spans="1:28">
      <c r="A1102" t="s">
        <v>28</v>
      </c>
      <c r="B1102" s="2">
        <v>45962</v>
      </c>
      <c r="C1102" s="2">
        <v>45931</v>
      </c>
      <c r="D1102" s="2">
        <v>46022</v>
      </c>
      <c r="E1102">
        <v>82752372</v>
      </c>
      <c r="F1102">
        <v>82832368</v>
      </c>
      <c r="G1102">
        <v>79996</v>
      </c>
      <c r="H1102">
        <v>93.89</v>
      </c>
      <c r="I1102">
        <v>680000</v>
      </c>
      <c r="J1102" t="s">
        <v>51</v>
      </c>
      <c r="K1102">
        <v>0.69</v>
      </c>
      <c r="L1102">
        <v>0.68</v>
      </c>
      <c r="M1102">
        <v>34443470</v>
      </c>
      <c r="N1102">
        <v>34475970</v>
      </c>
      <c r="O1102">
        <v>0</v>
      </c>
      <c r="P1102">
        <v>0</v>
      </c>
      <c r="Q1102">
        <v>9198537</v>
      </c>
      <c r="R1102">
        <v>9031100</v>
      </c>
      <c r="S1102">
        <v>7335332</v>
      </c>
      <c r="T1102">
        <v>7440211</v>
      </c>
      <c r="U1102">
        <v>0</v>
      </c>
      <c r="V1102">
        <v>0</v>
      </c>
      <c r="W1102">
        <v>0</v>
      </c>
      <c r="X1102">
        <v>0</v>
      </c>
      <c r="Y1102">
        <v>31775033</v>
      </c>
      <c r="Z1102">
        <v>31885087</v>
      </c>
      <c r="AA1102">
        <f t="shared" si="35"/>
        <v>-167437</v>
      </c>
      <c r="AB1102">
        <f t="shared" si="34"/>
        <v>-1.8202568517145714</v>
      </c>
    </row>
    <row r="1103" spans="1:28">
      <c r="A1103" t="s">
        <v>30</v>
      </c>
      <c r="B1103" s="2">
        <v>45962</v>
      </c>
      <c r="C1103" s="2">
        <v>45931</v>
      </c>
      <c r="D1103" s="2">
        <v>46022</v>
      </c>
      <c r="E1103">
        <v>26821533</v>
      </c>
      <c r="F1103">
        <v>26722771</v>
      </c>
      <c r="G1103">
        <v>-98762</v>
      </c>
      <c r="H1103">
        <v>88.44</v>
      </c>
      <c r="I1103">
        <v>120000</v>
      </c>
      <c r="J1103" t="s">
        <v>51</v>
      </c>
      <c r="K1103">
        <v>0.12</v>
      </c>
      <c r="L1103">
        <v>0.12</v>
      </c>
      <c r="M1103">
        <v>12468673</v>
      </c>
      <c r="N1103">
        <v>12474233</v>
      </c>
      <c r="O1103">
        <v>0</v>
      </c>
      <c r="P1103">
        <v>0</v>
      </c>
      <c r="Q1103">
        <v>1452957</v>
      </c>
      <c r="R1103">
        <v>1453097</v>
      </c>
      <c r="S1103">
        <v>3003459</v>
      </c>
      <c r="T1103">
        <v>2955717</v>
      </c>
      <c r="U1103">
        <v>0</v>
      </c>
      <c r="V1103">
        <v>0</v>
      </c>
      <c r="W1103">
        <v>0</v>
      </c>
      <c r="X1103">
        <v>0</v>
      </c>
      <c r="Y1103">
        <v>9896444</v>
      </c>
      <c r="Z1103">
        <v>9839724</v>
      </c>
      <c r="AA1103">
        <f t="shared" si="35"/>
        <v>140</v>
      </c>
      <c r="AB1103">
        <f t="shared" si="34"/>
        <v>9.6355225928915992E-3</v>
      </c>
    </row>
    <row r="1104" spans="1:28">
      <c r="A1104" t="s">
        <v>31</v>
      </c>
      <c r="B1104" s="2">
        <v>45962</v>
      </c>
      <c r="C1104" s="2">
        <v>45931</v>
      </c>
      <c r="D1104" s="2">
        <v>46022</v>
      </c>
      <c r="E1104">
        <v>98086498</v>
      </c>
      <c r="F1104">
        <v>98184641</v>
      </c>
      <c r="G1104">
        <v>98143</v>
      </c>
      <c r="H1104">
        <v>86.41</v>
      </c>
      <c r="I1104">
        <v>1330000</v>
      </c>
      <c r="J1104" t="s">
        <v>51</v>
      </c>
      <c r="K1104">
        <v>1.27</v>
      </c>
      <c r="L1104">
        <v>1.33</v>
      </c>
      <c r="M1104">
        <v>41248348</v>
      </c>
      <c r="N1104">
        <v>41235059</v>
      </c>
      <c r="O1104">
        <v>0</v>
      </c>
      <c r="P1104">
        <v>0</v>
      </c>
      <c r="Q1104">
        <v>7685423</v>
      </c>
      <c r="R1104">
        <v>7574000</v>
      </c>
      <c r="S1104">
        <v>5661772</v>
      </c>
      <c r="T1104">
        <v>5654203</v>
      </c>
      <c r="U1104">
        <v>0</v>
      </c>
      <c r="V1104">
        <v>0</v>
      </c>
      <c r="W1104">
        <v>0</v>
      </c>
      <c r="X1104">
        <v>0</v>
      </c>
      <c r="Y1104">
        <v>43490955</v>
      </c>
      <c r="Z1104">
        <v>43721379</v>
      </c>
      <c r="AA1104">
        <f t="shared" si="35"/>
        <v>-111423</v>
      </c>
      <c r="AB1104">
        <f t="shared" si="34"/>
        <v>-1.4497965824392489</v>
      </c>
    </row>
    <row r="1105" spans="1:28">
      <c r="A1105" t="s">
        <v>32</v>
      </c>
      <c r="B1105" s="2">
        <v>45962</v>
      </c>
      <c r="C1105" s="2">
        <v>45931</v>
      </c>
      <c r="D1105" s="2">
        <v>46022</v>
      </c>
      <c r="E1105">
        <v>56231093</v>
      </c>
      <c r="F1105">
        <v>56287420</v>
      </c>
      <c r="G1105">
        <v>56327</v>
      </c>
      <c r="H1105">
        <v>51.47</v>
      </c>
      <c r="I1105">
        <v>660000</v>
      </c>
      <c r="J1105" t="s">
        <v>51</v>
      </c>
      <c r="K1105">
        <v>0.66</v>
      </c>
      <c r="L1105">
        <v>0.66</v>
      </c>
      <c r="M1105">
        <v>19214168</v>
      </c>
      <c r="N1105">
        <v>19289107</v>
      </c>
      <c r="O1105">
        <v>2</v>
      </c>
      <c r="P1105">
        <v>2</v>
      </c>
      <c r="Q1105">
        <v>16598440</v>
      </c>
      <c r="R1105">
        <v>16498393</v>
      </c>
      <c r="S1105">
        <v>0</v>
      </c>
      <c r="T1105">
        <v>0</v>
      </c>
      <c r="U1105">
        <v>0</v>
      </c>
      <c r="V1105">
        <v>0</v>
      </c>
      <c r="W1105">
        <v>139399</v>
      </c>
      <c r="X1105">
        <v>137855</v>
      </c>
      <c r="Y1105">
        <v>20279084</v>
      </c>
      <c r="Z1105">
        <v>20362063</v>
      </c>
      <c r="AA1105">
        <f t="shared" si="35"/>
        <v>-100047</v>
      </c>
      <c r="AB1105">
        <f t="shared" si="34"/>
        <v>-0.60274941500526558</v>
      </c>
    </row>
    <row r="1106" spans="1:28">
      <c r="A1106" t="s">
        <v>33</v>
      </c>
      <c r="B1106" s="2">
        <v>45962</v>
      </c>
      <c r="C1106" s="2">
        <v>45931</v>
      </c>
      <c r="D1106" s="2">
        <v>46022</v>
      </c>
      <c r="E1106">
        <v>66718563</v>
      </c>
      <c r="F1106">
        <v>67215832</v>
      </c>
      <c r="G1106">
        <v>497269</v>
      </c>
      <c r="H1106">
        <v>90.92</v>
      </c>
      <c r="I1106">
        <v>1000000</v>
      </c>
      <c r="J1106" t="s">
        <v>51</v>
      </c>
      <c r="K1106">
        <v>0.98</v>
      </c>
      <c r="L1106">
        <v>1</v>
      </c>
      <c r="M1106">
        <v>12732415</v>
      </c>
      <c r="N1106">
        <v>12811317</v>
      </c>
      <c r="O1106">
        <v>1</v>
      </c>
      <c r="P1106">
        <v>1</v>
      </c>
      <c r="Q1106">
        <v>19113909</v>
      </c>
      <c r="R1106">
        <v>19154917</v>
      </c>
      <c r="S1106">
        <v>3295586</v>
      </c>
      <c r="T1106">
        <v>3310283</v>
      </c>
      <c r="U1106">
        <v>0</v>
      </c>
      <c r="V1106">
        <v>0</v>
      </c>
      <c r="W1106">
        <v>0</v>
      </c>
      <c r="X1106">
        <v>0</v>
      </c>
      <c r="Y1106">
        <v>31576652</v>
      </c>
      <c r="Z1106">
        <v>31939314</v>
      </c>
      <c r="AA1106">
        <f t="shared" si="35"/>
        <v>41008</v>
      </c>
      <c r="AB1106">
        <f t="shared" si="34"/>
        <v>0.21454533449960447</v>
      </c>
    </row>
    <row r="1107" spans="1:28">
      <c r="A1107" t="s">
        <v>34</v>
      </c>
      <c r="B1107" s="2">
        <v>45962</v>
      </c>
      <c r="C1107" s="2">
        <v>45931</v>
      </c>
      <c r="D1107" s="2">
        <v>46022</v>
      </c>
      <c r="E1107">
        <v>26431846</v>
      </c>
      <c r="F1107">
        <v>26283918</v>
      </c>
      <c r="G1107">
        <v>-147928</v>
      </c>
      <c r="H1107">
        <v>92.78</v>
      </c>
      <c r="I1107">
        <v>410000</v>
      </c>
      <c r="J1107" t="s">
        <v>51</v>
      </c>
      <c r="K1107">
        <v>0.43</v>
      </c>
      <c r="L1107">
        <v>0.41</v>
      </c>
      <c r="M1107">
        <v>7444847</v>
      </c>
      <c r="N1107">
        <v>7491697</v>
      </c>
      <c r="O1107">
        <v>0</v>
      </c>
      <c r="P1107">
        <v>0</v>
      </c>
      <c r="Q1107">
        <v>6209165</v>
      </c>
      <c r="R1107">
        <v>6188042</v>
      </c>
      <c r="S1107">
        <v>4423576</v>
      </c>
      <c r="T1107">
        <v>4453936</v>
      </c>
      <c r="U1107">
        <v>0</v>
      </c>
      <c r="V1107">
        <v>0</v>
      </c>
      <c r="W1107">
        <v>0</v>
      </c>
      <c r="X1107">
        <v>0</v>
      </c>
      <c r="Y1107">
        <v>8354258</v>
      </c>
      <c r="Z1107">
        <v>8150243</v>
      </c>
      <c r="AA1107">
        <f t="shared" si="35"/>
        <v>-21123</v>
      </c>
      <c r="AB1107">
        <f t="shared" si="34"/>
        <v>-0.34019066975994355</v>
      </c>
    </row>
    <row r="1108" spans="1:28">
      <c r="A1108" t="s">
        <v>35</v>
      </c>
      <c r="B1108" s="2">
        <v>45962</v>
      </c>
      <c r="C1108" s="2">
        <v>45931</v>
      </c>
      <c r="D1108" s="2">
        <v>46022</v>
      </c>
      <c r="E1108">
        <v>9129771</v>
      </c>
      <c r="F1108">
        <v>9126881</v>
      </c>
      <c r="G1108">
        <v>-2890</v>
      </c>
      <c r="H1108">
        <v>93.56</v>
      </c>
      <c r="I1108">
        <v>60000</v>
      </c>
      <c r="J1108" t="s">
        <v>51</v>
      </c>
      <c r="K1108">
        <v>0.05</v>
      </c>
      <c r="L1108">
        <v>0.06</v>
      </c>
      <c r="M1108">
        <v>3623693</v>
      </c>
      <c r="N1108">
        <v>3607810</v>
      </c>
      <c r="O1108">
        <v>0</v>
      </c>
      <c r="P1108">
        <v>0</v>
      </c>
      <c r="Q1108">
        <v>385878</v>
      </c>
      <c r="R1108">
        <v>383831</v>
      </c>
      <c r="S1108">
        <v>1759107</v>
      </c>
      <c r="T1108">
        <v>1771470</v>
      </c>
      <c r="U1108">
        <v>0</v>
      </c>
      <c r="V1108">
        <v>0</v>
      </c>
      <c r="W1108">
        <v>0</v>
      </c>
      <c r="X1108">
        <v>0</v>
      </c>
      <c r="Y1108">
        <v>3361093</v>
      </c>
      <c r="Z1108">
        <v>3363770</v>
      </c>
      <c r="AA1108">
        <f t="shared" si="35"/>
        <v>-2047</v>
      </c>
      <c r="AB1108">
        <f t="shared" si="34"/>
        <v>-0.53047854503236769</v>
      </c>
    </row>
    <row r="1109" spans="1:28">
      <c r="A1109" t="s">
        <v>36</v>
      </c>
      <c r="B1109" s="2">
        <v>45962</v>
      </c>
      <c r="C1109" s="2">
        <v>45931</v>
      </c>
      <c r="D1109" s="2">
        <v>46022</v>
      </c>
      <c r="E1109">
        <v>12706283</v>
      </c>
      <c r="F1109">
        <v>12695546</v>
      </c>
      <c r="G1109">
        <v>-10737</v>
      </c>
      <c r="H1109">
        <v>82.48</v>
      </c>
      <c r="I1109">
        <v>70000</v>
      </c>
      <c r="J1109" t="s">
        <v>51</v>
      </c>
      <c r="K1109">
        <v>0.06</v>
      </c>
      <c r="L1109">
        <v>7.0000000000000007E-2</v>
      </c>
      <c r="M1109">
        <v>6339919</v>
      </c>
      <c r="N1109">
        <v>6347246</v>
      </c>
      <c r="O1109">
        <v>0</v>
      </c>
      <c r="P1109">
        <v>0</v>
      </c>
      <c r="Q1109">
        <v>251568</v>
      </c>
      <c r="R1109">
        <v>250037</v>
      </c>
      <c r="S1109">
        <v>864947</v>
      </c>
      <c r="T1109">
        <v>863999</v>
      </c>
      <c r="U1109">
        <v>0</v>
      </c>
      <c r="V1109">
        <v>0</v>
      </c>
      <c r="W1109">
        <v>0</v>
      </c>
      <c r="X1109">
        <v>0</v>
      </c>
      <c r="Y1109">
        <v>5249849</v>
      </c>
      <c r="Z1109">
        <v>5234264</v>
      </c>
      <c r="AA1109">
        <f t="shared" si="35"/>
        <v>-1531</v>
      </c>
      <c r="AB1109">
        <f t="shared" si="34"/>
        <v>-0.60858296762704323</v>
      </c>
    </row>
    <row r="1110" spans="1:28">
      <c r="A1110" t="s">
        <v>37</v>
      </c>
      <c r="B1110" s="2">
        <v>45962</v>
      </c>
      <c r="C1110" s="2">
        <v>45931</v>
      </c>
      <c r="D1110" s="2">
        <v>46022</v>
      </c>
      <c r="E1110">
        <v>70329956</v>
      </c>
      <c r="F1110">
        <v>70771347</v>
      </c>
      <c r="G1110">
        <v>441391</v>
      </c>
      <c r="H1110">
        <v>68.900000000000006</v>
      </c>
      <c r="I1110">
        <v>610000</v>
      </c>
      <c r="J1110" t="s">
        <v>51</v>
      </c>
      <c r="K1110">
        <v>0.62</v>
      </c>
      <c r="L1110">
        <v>0.61</v>
      </c>
      <c r="M1110">
        <v>32596945</v>
      </c>
      <c r="N1110">
        <v>32617737</v>
      </c>
      <c r="O1110">
        <v>383</v>
      </c>
      <c r="P1110">
        <v>376</v>
      </c>
      <c r="Q1110">
        <v>7281360</v>
      </c>
      <c r="R1110">
        <v>7383080</v>
      </c>
      <c r="S1110">
        <v>4653548</v>
      </c>
      <c r="T1110">
        <v>4693660</v>
      </c>
      <c r="U1110">
        <v>0</v>
      </c>
      <c r="V1110">
        <v>0</v>
      </c>
      <c r="W1110">
        <v>0</v>
      </c>
      <c r="X1110">
        <v>0</v>
      </c>
      <c r="Y1110">
        <v>25797720</v>
      </c>
      <c r="Z1110">
        <v>26076494</v>
      </c>
      <c r="AA1110">
        <f t="shared" si="35"/>
        <v>101720</v>
      </c>
      <c r="AB1110">
        <f t="shared" si="34"/>
        <v>1.3969917707680983</v>
      </c>
    </row>
    <row r="1111" spans="1:28">
      <c r="A1111" t="s">
        <v>38</v>
      </c>
      <c r="B1111" s="2">
        <v>45962</v>
      </c>
      <c r="C1111" s="2">
        <v>45931</v>
      </c>
      <c r="D1111" s="2">
        <v>46022</v>
      </c>
      <c r="E1111">
        <v>41848377</v>
      </c>
      <c r="F1111">
        <v>41943129</v>
      </c>
      <c r="G1111">
        <v>94752</v>
      </c>
      <c r="H1111">
        <v>93.03</v>
      </c>
      <c r="I1111">
        <v>260000</v>
      </c>
      <c r="J1111" t="s">
        <v>51</v>
      </c>
      <c r="K1111">
        <v>0.26</v>
      </c>
      <c r="L1111">
        <v>0.26</v>
      </c>
      <c r="M1111">
        <v>9235215</v>
      </c>
      <c r="N1111">
        <v>9260175</v>
      </c>
      <c r="O1111">
        <v>3</v>
      </c>
      <c r="P1111">
        <v>3</v>
      </c>
      <c r="Q1111">
        <v>12741962</v>
      </c>
      <c r="R1111">
        <v>12744559</v>
      </c>
      <c r="S1111">
        <v>8931766</v>
      </c>
      <c r="T1111">
        <v>8958276</v>
      </c>
      <c r="U1111">
        <v>0</v>
      </c>
      <c r="V1111">
        <v>0</v>
      </c>
      <c r="W1111">
        <v>0</v>
      </c>
      <c r="X1111">
        <v>0</v>
      </c>
      <c r="Y1111">
        <v>10939431</v>
      </c>
      <c r="Z1111">
        <v>10980116</v>
      </c>
      <c r="AA1111">
        <f t="shared" si="35"/>
        <v>2597</v>
      </c>
      <c r="AB1111">
        <f t="shared" si="34"/>
        <v>2.0381476573231028E-2</v>
      </c>
    </row>
    <row r="1112" spans="1:28">
      <c r="A1112" t="s">
        <v>39</v>
      </c>
      <c r="B1112" s="2">
        <v>45962</v>
      </c>
      <c r="C1112" s="2">
        <v>45931</v>
      </c>
      <c r="D1112" s="2">
        <v>46022</v>
      </c>
      <c r="E1112">
        <v>22252084</v>
      </c>
      <c r="F1112">
        <v>22256988</v>
      </c>
      <c r="G1112">
        <v>4904</v>
      </c>
      <c r="H1112">
        <v>85.67</v>
      </c>
      <c r="I1112">
        <v>190000</v>
      </c>
      <c r="J1112" t="s">
        <v>51</v>
      </c>
      <c r="K1112">
        <v>0.19</v>
      </c>
      <c r="L1112">
        <v>0.19</v>
      </c>
      <c r="M1112">
        <v>5267279</v>
      </c>
      <c r="N1112">
        <v>5262990</v>
      </c>
      <c r="O1112">
        <v>0</v>
      </c>
      <c r="P1112">
        <v>0</v>
      </c>
      <c r="Q1112">
        <v>4700853</v>
      </c>
      <c r="R1112">
        <v>4681821</v>
      </c>
      <c r="S1112">
        <v>1415911</v>
      </c>
      <c r="T1112">
        <v>1425482</v>
      </c>
      <c r="U1112">
        <v>0</v>
      </c>
      <c r="V1112">
        <v>0</v>
      </c>
      <c r="W1112">
        <v>0</v>
      </c>
      <c r="X1112">
        <v>0</v>
      </c>
      <c r="Y1112">
        <v>10868041</v>
      </c>
      <c r="Z1112">
        <v>10886695</v>
      </c>
      <c r="AA1112">
        <f t="shared" si="35"/>
        <v>-19032</v>
      </c>
      <c r="AB1112">
        <f t="shared" si="34"/>
        <v>-0.40486269194122854</v>
      </c>
    </row>
    <row r="1113" spans="1:28">
      <c r="A1113" t="s">
        <v>40</v>
      </c>
      <c r="B1113" s="2">
        <v>45962</v>
      </c>
      <c r="C1113" s="2">
        <v>45931</v>
      </c>
      <c r="D1113" s="2">
        <v>46022</v>
      </c>
      <c r="E1113">
        <v>82552445</v>
      </c>
      <c r="F1113">
        <v>82789613</v>
      </c>
      <c r="G1113">
        <v>237168</v>
      </c>
      <c r="H1113">
        <v>86.48</v>
      </c>
      <c r="I1113">
        <v>1400000</v>
      </c>
      <c r="J1113" t="s">
        <v>51</v>
      </c>
      <c r="K1113">
        <v>1.4</v>
      </c>
      <c r="L1113">
        <v>1.4</v>
      </c>
      <c r="M1113">
        <v>16828095</v>
      </c>
      <c r="N1113">
        <v>16925132</v>
      </c>
      <c r="O1113">
        <v>0</v>
      </c>
      <c r="P1113">
        <v>0</v>
      </c>
      <c r="Q1113">
        <v>12988382</v>
      </c>
      <c r="R1113">
        <v>12880011</v>
      </c>
      <c r="S1113">
        <v>5128929</v>
      </c>
      <c r="T1113">
        <v>5141998</v>
      </c>
      <c r="U1113">
        <v>0</v>
      </c>
      <c r="V1113">
        <v>0</v>
      </c>
      <c r="W1113">
        <v>0</v>
      </c>
      <c r="X1113">
        <v>0</v>
      </c>
      <c r="Y1113">
        <v>47607039</v>
      </c>
      <c r="Z1113">
        <v>47842472</v>
      </c>
      <c r="AA1113">
        <f t="shared" si="35"/>
        <v>-108371</v>
      </c>
      <c r="AB1113">
        <f t="shared" si="34"/>
        <v>-0.83436874585302456</v>
      </c>
    </row>
    <row r="1114" spans="1:28">
      <c r="A1114" t="s">
        <v>41</v>
      </c>
      <c r="B1114" s="2">
        <v>45962</v>
      </c>
      <c r="C1114" s="2">
        <v>45931</v>
      </c>
      <c r="D1114" s="2">
        <v>46022</v>
      </c>
      <c r="E1114">
        <v>92329859</v>
      </c>
      <c r="F1114">
        <v>92472976</v>
      </c>
      <c r="G1114">
        <v>143117</v>
      </c>
      <c r="H1114">
        <v>92.94</v>
      </c>
      <c r="I1114">
        <v>1060000</v>
      </c>
      <c r="J1114" t="s">
        <v>51</v>
      </c>
      <c r="K1114">
        <v>1.08</v>
      </c>
      <c r="L1114">
        <v>1.06</v>
      </c>
      <c r="M1114">
        <v>23144905</v>
      </c>
      <c r="N1114">
        <v>23311773</v>
      </c>
      <c r="O1114">
        <v>0</v>
      </c>
      <c r="P1114">
        <v>0</v>
      </c>
      <c r="Q1114">
        <v>20496736</v>
      </c>
      <c r="R1114">
        <v>20565441</v>
      </c>
      <c r="S1114">
        <v>5310770</v>
      </c>
      <c r="T1114">
        <v>5338162</v>
      </c>
      <c r="U1114">
        <v>0</v>
      </c>
      <c r="V1114">
        <v>0</v>
      </c>
      <c r="W1114">
        <v>0</v>
      </c>
      <c r="X1114">
        <v>0</v>
      </c>
      <c r="Y1114">
        <v>43377448</v>
      </c>
      <c r="Z1114">
        <v>43257600</v>
      </c>
      <c r="AA1114">
        <f t="shared" si="35"/>
        <v>68705</v>
      </c>
      <c r="AB1114">
        <f t="shared" si="34"/>
        <v>0.33519971179801505</v>
      </c>
    </row>
    <row r="1115" spans="1:28">
      <c r="A1115" t="s">
        <v>42</v>
      </c>
      <c r="B1115" s="2">
        <v>45962</v>
      </c>
      <c r="C1115" s="2">
        <v>45931</v>
      </c>
      <c r="D1115" s="2">
        <v>46022</v>
      </c>
      <c r="E1115">
        <v>34191093</v>
      </c>
      <c r="F1115">
        <v>34276790</v>
      </c>
      <c r="G1115">
        <v>85697</v>
      </c>
      <c r="H1115">
        <v>69.17</v>
      </c>
      <c r="I1115">
        <v>250000</v>
      </c>
      <c r="J1115" t="s">
        <v>51</v>
      </c>
      <c r="K1115">
        <v>0.27</v>
      </c>
      <c r="L1115">
        <v>0.25</v>
      </c>
      <c r="M1115">
        <v>10068845</v>
      </c>
      <c r="N1115">
        <v>10099790</v>
      </c>
      <c r="O1115">
        <v>68</v>
      </c>
      <c r="P1115">
        <v>80</v>
      </c>
      <c r="Q1115">
        <v>10756146</v>
      </c>
      <c r="R1115">
        <v>10768783</v>
      </c>
      <c r="S1115">
        <v>0</v>
      </c>
      <c r="T1115">
        <v>0</v>
      </c>
      <c r="U1115">
        <v>0</v>
      </c>
      <c r="V1115">
        <v>0</v>
      </c>
      <c r="W1115">
        <v>104013</v>
      </c>
      <c r="X1115">
        <v>98027</v>
      </c>
      <c r="Y1115">
        <v>13262021</v>
      </c>
      <c r="Z1115">
        <v>13310110</v>
      </c>
      <c r="AA1115">
        <f t="shared" si="35"/>
        <v>12637</v>
      </c>
      <c r="AB1115">
        <f t="shared" si="34"/>
        <v>0.11748631898451362</v>
      </c>
    </row>
    <row r="1116" spans="1:28">
      <c r="A1116" t="s">
        <v>43</v>
      </c>
      <c r="B1116" s="2">
        <v>45962</v>
      </c>
      <c r="C1116" s="2">
        <v>45931</v>
      </c>
      <c r="D1116" s="2">
        <v>46022</v>
      </c>
      <c r="E1116">
        <v>12779870</v>
      </c>
      <c r="F1116">
        <v>12805539</v>
      </c>
      <c r="G1116">
        <v>25669</v>
      </c>
      <c r="H1116">
        <v>95.36</v>
      </c>
      <c r="I1116">
        <v>30000</v>
      </c>
      <c r="J1116" t="s">
        <v>51</v>
      </c>
      <c r="K1116">
        <v>0.03</v>
      </c>
      <c r="L1116">
        <v>0.03</v>
      </c>
      <c r="M1116">
        <v>6462922</v>
      </c>
      <c r="N1116">
        <v>6477368</v>
      </c>
      <c r="O1116">
        <v>0</v>
      </c>
      <c r="P1116">
        <v>0</v>
      </c>
      <c r="Q1116">
        <v>613933</v>
      </c>
      <c r="R1116">
        <v>609261</v>
      </c>
      <c r="S1116">
        <v>1284548</v>
      </c>
      <c r="T1116">
        <v>1294812</v>
      </c>
      <c r="U1116">
        <v>0</v>
      </c>
      <c r="V1116">
        <v>0</v>
      </c>
      <c r="W1116">
        <v>0</v>
      </c>
      <c r="X1116">
        <v>0</v>
      </c>
      <c r="Y1116">
        <v>4418467</v>
      </c>
      <c r="Z1116">
        <v>4424098</v>
      </c>
      <c r="AA1116">
        <f t="shared" si="35"/>
        <v>-4672</v>
      </c>
      <c r="AB1116">
        <f t="shared" si="34"/>
        <v>-0.76099509229834528</v>
      </c>
    </row>
    <row r="1117" spans="1:28">
      <c r="A1117" t="s">
        <v>44</v>
      </c>
      <c r="B1117" s="2">
        <v>45962</v>
      </c>
      <c r="C1117" s="2">
        <v>45931</v>
      </c>
      <c r="D1117" s="2">
        <v>46022</v>
      </c>
      <c r="E1117">
        <v>35981902</v>
      </c>
      <c r="F1117">
        <v>36136824</v>
      </c>
      <c r="G1117">
        <v>154922</v>
      </c>
      <c r="H1117">
        <v>86.22</v>
      </c>
      <c r="I1117">
        <v>250000</v>
      </c>
      <c r="J1117" t="s">
        <v>51</v>
      </c>
      <c r="K1117">
        <v>0.25</v>
      </c>
      <c r="L1117">
        <v>0.25</v>
      </c>
      <c r="M1117">
        <v>12030483</v>
      </c>
      <c r="N1117">
        <v>12020240</v>
      </c>
      <c r="O1117">
        <v>0</v>
      </c>
      <c r="P1117">
        <v>0</v>
      </c>
      <c r="Q1117">
        <v>1487341</v>
      </c>
      <c r="R1117">
        <v>1490368</v>
      </c>
      <c r="S1117">
        <v>5530388</v>
      </c>
      <c r="T1117">
        <v>5532821</v>
      </c>
      <c r="U1117">
        <v>0</v>
      </c>
      <c r="V1117">
        <v>0</v>
      </c>
      <c r="W1117">
        <v>0</v>
      </c>
      <c r="X1117">
        <v>0</v>
      </c>
      <c r="Y1117">
        <v>16933690</v>
      </c>
      <c r="Z1117">
        <v>17093395</v>
      </c>
      <c r="AA1117">
        <f t="shared" si="35"/>
        <v>3027</v>
      </c>
      <c r="AB1117">
        <f t="shared" si="34"/>
        <v>0.20351755246443148</v>
      </c>
    </row>
    <row r="1118" spans="1:28">
      <c r="A1118" t="s">
        <v>45</v>
      </c>
      <c r="B1118" s="2">
        <v>45962</v>
      </c>
      <c r="C1118" s="2">
        <v>45931</v>
      </c>
      <c r="D1118" s="2">
        <v>46022</v>
      </c>
      <c r="E1118">
        <v>33866840</v>
      </c>
      <c r="F1118">
        <v>33946534</v>
      </c>
      <c r="G1118">
        <v>79694</v>
      </c>
      <c r="H1118">
        <v>91.46</v>
      </c>
      <c r="I1118">
        <v>350000</v>
      </c>
      <c r="J1118" t="s">
        <v>51</v>
      </c>
      <c r="K1118">
        <v>0.38</v>
      </c>
      <c r="L1118">
        <v>0.35</v>
      </c>
      <c r="M1118">
        <v>12620777</v>
      </c>
      <c r="N1118">
        <v>12691143</v>
      </c>
      <c r="O1118">
        <v>5</v>
      </c>
      <c r="P1118">
        <v>6</v>
      </c>
      <c r="Q1118">
        <v>5705799</v>
      </c>
      <c r="R1118">
        <v>5662904</v>
      </c>
      <c r="S1118">
        <v>4088155</v>
      </c>
      <c r="T1118">
        <v>4091509</v>
      </c>
      <c r="U1118">
        <v>0</v>
      </c>
      <c r="V1118">
        <v>0</v>
      </c>
      <c r="W1118">
        <v>0</v>
      </c>
      <c r="X1118">
        <v>0</v>
      </c>
      <c r="Y1118">
        <v>11452104</v>
      </c>
      <c r="Z1118">
        <v>11500972</v>
      </c>
      <c r="AA1118">
        <f t="shared" si="35"/>
        <v>-42895</v>
      </c>
      <c r="AB1118">
        <f t="shared" si="34"/>
        <v>-0.75177902341109459</v>
      </c>
    </row>
    <row r="1119" spans="1:28">
      <c r="A1119" t="s">
        <v>46</v>
      </c>
      <c r="B1119" s="2">
        <v>45962</v>
      </c>
      <c r="C1119" s="2">
        <v>45931</v>
      </c>
      <c r="D1119" s="2">
        <v>46022</v>
      </c>
      <c r="E1119">
        <v>64699529</v>
      </c>
      <c r="F1119">
        <v>64716845</v>
      </c>
      <c r="G1119">
        <v>17316</v>
      </c>
      <c r="H1119">
        <v>92.92</v>
      </c>
      <c r="I1119">
        <v>780000</v>
      </c>
      <c r="J1119" t="s">
        <v>51</v>
      </c>
      <c r="K1119">
        <v>0.78</v>
      </c>
      <c r="L1119">
        <v>0.78</v>
      </c>
      <c r="M1119">
        <v>23360767</v>
      </c>
      <c r="N1119">
        <v>23412034</v>
      </c>
      <c r="O1119">
        <v>50</v>
      </c>
      <c r="P1119">
        <v>51</v>
      </c>
      <c r="Q1119">
        <v>8571497</v>
      </c>
      <c r="R1119">
        <v>8486300</v>
      </c>
      <c r="S1119">
        <v>5731546</v>
      </c>
      <c r="T1119">
        <v>5739076</v>
      </c>
      <c r="U1119">
        <v>0</v>
      </c>
      <c r="V1119">
        <v>0</v>
      </c>
      <c r="W1119">
        <v>0</v>
      </c>
      <c r="X1119">
        <v>0</v>
      </c>
      <c r="Y1119">
        <v>27035669</v>
      </c>
      <c r="Z1119">
        <v>27079384</v>
      </c>
      <c r="AA1119">
        <f t="shared" si="35"/>
        <v>-85197</v>
      </c>
      <c r="AB1119">
        <f t="shared" si="34"/>
        <v>-0.99395706490943181</v>
      </c>
    </row>
    <row r="1120" spans="1:28">
      <c r="A1120" t="s">
        <v>47</v>
      </c>
      <c r="B1120" s="2">
        <v>45962</v>
      </c>
      <c r="C1120" s="2">
        <v>45931</v>
      </c>
      <c r="D1120" s="2">
        <v>46022</v>
      </c>
      <c r="E1120">
        <v>77952517</v>
      </c>
      <c r="F1120">
        <v>78118306</v>
      </c>
      <c r="G1120">
        <v>165789</v>
      </c>
      <c r="H1120">
        <v>79.48</v>
      </c>
      <c r="I1120">
        <v>620000</v>
      </c>
      <c r="J1120" t="s">
        <v>51</v>
      </c>
      <c r="K1120">
        <v>0.56999999999999995</v>
      </c>
      <c r="L1120">
        <v>0.62</v>
      </c>
      <c r="M1120">
        <v>30983605</v>
      </c>
      <c r="N1120">
        <v>31136920</v>
      </c>
      <c r="O1120">
        <v>0</v>
      </c>
      <c r="P1120">
        <v>0</v>
      </c>
      <c r="Q1120">
        <v>14324828</v>
      </c>
      <c r="R1120">
        <v>14293839</v>
      </c>
      <c r="S1120">
        <v>7910011</v>
      </c>
      <c r="T1120">
        <v>7975145</v>
      </c>
      <c r="U1120">
        <v>0</v>
      </c>
      <c r="V1120">
        <v>0</v>
      </c>
      <c r="W1120">
        <v>0</v>
      </c>
      <c r="X1120">
        <v>0</v>
      </c>
      <c r="Y1120">
        <v>24734073</v>
      </c>
      <c r="Z1120">
        <v>24712402</v>
      </c>
      <c r="AA1120">
        <f t="shared" si="35"/>
        <v>-30989</v>
      </c>
      <c r="AB1120">
        <f t="shared" si="34"/>
        <v>-0.21633069520974355</v>
      </c>
    </row>
    <row r="1121" spans="1:28">
      <c r="A1121" t="s">
        <v>48</v>
      </c>
      <c r="B1121" s="2">
        <v>45962</v>
      </c>
      <c r="C1121" s="2">
        <v>45931</v>
      </c>
      <c r="D1121" s="2">
        <v>46022</v>
      </c>
      <c r="E1121">
        <v>103955642</v>
      </c>
      <c r="F1121">
        <v>103955908</v>
      </c>
      <c r="G1121">
        <v>266</v>
      </c>
      <c r="H1121">
        <v>89.27</v>
      </c>
      <c r="I1121">
        <v>1970000</v>
      </c>
      <c r="J1121" t="s">
        <v>51</v>
      </c>
      <c r="K1121">
        <v>2.2400000000000002</v>
      </c>
      <c r="L1121">
        <v>1.97</v>
      </c>
      <c r="M1121">
        <v>35979827</v>
      </c>
      <c r="N1121">
        <v>36115229</v>
      </c>
      <c r="O1121">
        <v>0</v>
      </c>
      <c r="P1121">
        <v>0</v>
      </c>
      <c r="Q1121">
        <v>15744055</v>
      </c>
      <c r="R1121">
        <v>15729073</v>
      </c>
      <c r="S1121">
        <v>8403483</v>
      </c>
      <c r="T1121">
        <v>8449052</v>
      </c>
      <c r="U1121">
        <v>0</v>
      </c>
      <c r="V1121">
        <v>0</v>
      </c>
      <c r="W1121">
        <v>0</v>
      </c>
      <c r="X1121">
        <v>0</v>
      </c>
      <c r="Y1121">
        <v>43828277</v>
      </c>
      <c r="Z1121">
        <v>43662554</v>
      </c>
      <c r="AA1121">
        <f t="shared" si="35"/>
        <v>-14982</v>
      </c>
      <c r="AB1121">
        <f t="shared" si="34"/>
        <v>-9.5159728545155614E-2</v>
      </c>
    </row>
    <row r="1122" spans="1:28">
      <c r="A1122" t="s">
        <v>49</v>
      </c>
      <c r="B1122" s="2">
        <v>45962</v>
      </c>
      <c r="C1122" s="2">
        <v>45931</v>
      </c>
      <c r="D1122" s="2">
        <v>46022</v>
      </c>
      <c r="E1122">
        <v>62735862</v>
      </c>
      <c r="F1122">
        <v>62783411</v>
      </c>
      <c r="G1122">
        <v>47549</v>
      </c>
      <c r="H1122">
        <v>90.92</v>
      </c>
      <c r="I1122">
        <v>1350000</v>
      </c>
      <c r="J1122" t="s">
        <v>51</v>
      </c>
      <c r="K1122">
        <v>1.47</v>
      </c>
      <c r="L1122">
        <v>1.35</v>
      </c>
      <c r="M1122">
        <v>18981227</v>
      </c>
      <c r="N1122">
        <v>19147937</v>
      </c>
      <c r="O1122">
        <v>0</v>
      </c>
      <c r="P1122">
        <v>0</v>
      </c>
      <c r="Q1122">
        <v>13458556</v>
      </c>
      <c r="R1122">
        <v>13119911</v>
      </c>
      <c r="S1122">
        <v>5171874</v>
      </c>
      <c r="T1122">
        <v>5222783</v>
      </c>
      <c r="U1122">
        <v>0</v>
      </c>
      <c r="V1122">
        <v>0</v>
      </c>
      <c r="W1122">
        <v>0</v>
      </c>
      <c r="X1122">
        <v>0</v>
      </c>
      <c r="Y1122">
        <v>25124205</v>
      </c>
      <c r="Z1122">
        <v>25292780</v>
      </c>
      <c r="AA1122">
        <f t="shared" si="35"/>
        <v>-338645</v>
      </c>
      <c r="AB1122">
        <f t="shared" si="34"/>
        <v>-2.516206047662171</v>
      </c>
    </row>
    <row r="1123" spans="1:28">
      <c r="A1123" t="s">
        <v>50</v>
      </c>
      <c r="B1123" s="2">
        <v>45962</v>
      </c>
      <c r="C1123" s="2">
        <v>45931</v>
      </c>
      <c r="D1123" s="2">
        <v>46022</v>
      </c>
      <c r="E1123">
        <v>57520800</v>
      </c>
      <c r="F1123">
        <v>57558334</v>
      </c>
      <c r="G1123">
        <v>37534</v>
      </c>
      <c r="H1123">
        <v>88.33</v>
      </c>
      <c r="I1123">
        <v>1260000</v>
      </c>
      <c r="J1123" t="s">
        <v>51</v>
      </c>
      <c r="K1123">
        <v>1.24</v>
      </c>
      <c r="L1123">
        <v>1.26</v>
      </c>
      <c r="M1123">
        <v>18588488</v>
      </c>
      <c r="N1123">
        <v>18669411</v>
      </c>
      <c r="O1123">
        <v>9</v>
      </c>
      <c r="P1123">
        <v>4</v>
      </c>
      <c r="Q1123">
        <v>10955846</v>
      </c>
      <c r="R1123">
        <v>10763269</v>
      </c>
      <c r="S1123">
        <v>2637291</v>
      </c>
      <c r="T1123">
        <v>2650918</v>
      </c>
      <c r="U1123">
        <v>0</v>
      </c>
      <c r="V1123">
        <v>0</v>
      </c>
      <c r="W1123">
        <v>0</v>
      </c>
      <c r="X1123">
        <v>0</v>
      </c>
      <c r="Y1123">
        <v>25339166</v>
      </c>
      <c r="Z1123">
        <v>25474732</v>
      </c>
      <c r="AA1123">
        <f t="shared" si="35"/>
        <v>-192577</v>
      </c>
      <c r="AB1123">
        <f t="shared" si="34"/>
        <v>-1.7577556311032485</v>
      </c>
    </row>
    <row r="1124" spans="1:28">
      <c r="A1124" t="s">
        <v>28</v>
      </c>
      <c r="B1124" s="2">
        <v>45992</v>
      </c>
      <c r="C1124" s="2">
        <v>45962</v>
      </c>
      <c r="D1124" s="2">
        <v>46063</v>
      </c>
      <c r="E1124">
        <v>85724465</v>
      </c>
      <c r="F1124">
        <v>85922880</v>
      </c>
      <c r="G1124">
        <v>198415</v>
      </c>
      <c r="H1124">
        <v>95.05</v>
      </c>
      <c r="I1124">
        <v>690000</v>
      </c>
      <c r="J1124" t="s">
        <v>51</v>
      </c>
      <c r="K1124">
        <v>0.68</v>
      </c>
      <c r="L1124">
        <v>0.69</v>
      </c>
      <c r="M1124">
        <v>37368067</v>
      </c>
      <c r="N1124">
        <v>37693735</v>
      </c>
      <c r="O1124">
        <v>0</v>
      </c>
      <c r="P1124">
        <v>0</v>
      </c>
      <c r="Q1124">
        <v>9031100</v>
      </c>
      <c r="R1124">
        <v>8913709</v>
      </c>
      <c r="S1124">
        <v>7440211</v>
      </c>
      <c r="T1124">
        <v>7420443</v>
      </c>
      <c r="U1124">
        <v>0</v>
      </c>
      <c r="V1124">
        <v>0</v>
      </c>
      <c r="W1124">
        <v>0</v>
      </c>
      <c r="X1124">
        <v>0</v>
      </c>
      <c r="Y1124">
        <v>31885087</v>
      </c>
      <c r="Z1124">
        <v>31894993</v>
      </c>
      <c r="AA1124">
        <f t="shared" si="35"/>
        <v>-117391</v>
      </c>
      <c r="AB1124">
        <f t="shared" si="34"/>
        <v>-1.2998527311180255</v>
      </c>
    </row>
    <row r="1125" spans="1:28">
      <c r="A1125" t="s">
        <v>30</v>
      </c>
      <c r="B1125" s="2">
        <v>45992</v>
      </c>
      <c r="C1125" s="2">
        <v>45962</v>
      </c>
      <c r="D1125" s="2">
        <v>46063</v>
      </c>
      <c r="E1125">
        <v>27783298</v>
      </c>
      <c r="F1125">
        <v>28234716</v>
      </c>
      <c r="G1125">
        <v>451418</v>
      </c>
      <c r="H1125">
        <v>89.84</v>
      </c>
      <c r="I1125">
        <v>130000</v>
      </c>
      <c r="J1125" t="s">
        <v>51</v>
      </c>
      <c r="K1125">
        <v>0.12</v>
      </c>
      <c r="L1125">
        <v>0.13</v>
      </c>
      <c r="M1125">
        <v>13534760</v>
      </c>
      <c r="N1125">
        <v>13961808</v>
      </c>
      <c r="O1125">
        <v>0</v>
      </c>
      <c r="P1125">
        <v>0</v>
      </c>
      <c r="Q1125">
        <v>1453097</v>
      </c>
      <c r="R1125">
        <v>1451538</v>
      </c>
      <c r="S1125">
        <v>2955717</v>
      </c>
      <c r="T1125">
        <v>2951850</v>
      </c>
      <c r="U1125">
        <v>0</v>
      </c>
      <c r="V1125">
        <v>0</v>
      </c>
      <c r="W1125">
        <v>0</v>
      </c>
      <c r="X1125">
        <v>0</v>
      </c>
      <c r="Y1125">
        <v>9839724</v>
      </c>
      <c r="Z1125">
        <v>9869520</v>
      </c>
      <c r="AA1125">
        <f t="shared" si="35"/>
        <v>-1559</v>
      </c>
      <c r="AB1125">
        <f t="shared" si="34"/>
        <v>-0.10728808881994802</v>
      </c>
    </row>
    <row r="1126" spans="1:28">
      <c r="A1126" t="s">
        <v>31</v>
      </c>
      <c r="B1126" s="2">
        <v>45992</v>
      </c>
      <c r="C1126" s="2">
        <v>45962</v>
      </c>
      <c r="D1126" s="2">
        <v>46063</v>
      </c>
      <c r="E1126">
        <v>103582381</v>
      </c>
      <c r="F1126">
        <v>104503659</v>
      </c>
      <c r="G1126">
        <v>921278</v>
      </c>
      <c r="H1126">
        <v>85.62</v>
      </c>
      <c r="I1126">
        <v>1450000</v>
      </c>
      <c r="J1126" t="s">
        <v>51</v>
      </c>
      <c r="K1126">
        <v>1.33</v>
      </c>
      <c r="L1126">
        <v>1.45</v>
      </c>
      <c r="M1126">
        <v>46632799</v>
      </c>
      <c r="N1126">
        <v>47410246</v>
      </c>
      <c r="O1126">
        <v>0</v>
      </c>
      <c r="P1126">
        <v>0</v>
      </c>
      <c r="Q1126">
        <v>7574000</v>
      </c>
      <c r="R1126">
        <v>7432810</v>
      </c>
      <c r="S1126">
        <v>5654203</v>
      </c>
      <c r="T1126">
        <v>5631850</v>
      </c>
      <c r="U1126">
        <v>0</v>
      </c>
      <c r="V1126">
        <v>0</v>
      </c>
      <c r="W1126">
        <v>0</v>
      </c>
      <c r="X1126">
        <v>0</v>
      </c>
      <c r="Y1126">
        <v>43721379</v>
      </c>
      <c r="Z1126">
        <v>44028753</v>
      </c>
      <c r="AA1126">
        <f t="shared" si="35"/>
        <v>-141190</v>
      </c>
      <c r="AB1126">
        <f t="shared" si="34"/>
        <v>-1.8641404805914974</v>
      </c>
    </row>
    <row r="1127" spans="1:28">
      <c r="A1127" t="s">
        <v>32</v>
      </c>
      <c r="B1127" s="2">
        <v>45992</v>
      </c>
      <c r="C1127" s="2">
        <v>45962</v>
      </c>
      <c r="D1127" s="2">
        <v>46063</v>
      </c>
      <c r="E1127">
        <v>74496297</v>
      </c>
      <c r="F1127">
        <v>74845237</v>
      </c>
      <c r="G1127">
        <v>348940</v>
      </c>
      <c r="H1127">
        <v>52.44</v>
      </c>
      <c r="I1127">
        <v>750000</v>
      </c>
      <c r="J1127" t="s">
        <v>51</v>
      </c>
      <c r="K1127">
        <v>0.66</v>
      </c>
      <c r="L1127">
        <v>0.75</v>
      </c>
      <c r="M1127">
        <v>37497984</v>
      </c>
      <c r="N1127">
        <v>37727940</v>
      </c>
      <c r="O1127">
        <v>2</v>
      </c>
      <c r="P1127">
        <v>2</v>
      </c>
      <c r="Q1127">
        <v>16498393</v>
      </c>
      <c r="R1127">
        <v>16558799</v>
      </c>
      <c r="S1127">
        <v>0</v>
      </c>
      <c r="T1127">
        <v>0</v>
      </c>
      <c r="U1127">
        <v>0</v>
      </c>
      <c r="V1127">
        <v>0</v>
      </c>
      <c r="W1127">
        <v>137855</v>
      </c>
      <c r="X1127">
        <v>137054</v>
      </c>
      <c r="Y1127">
        <v>20362063</v>
      </c>
      <c r="Z1127">
        <v>20421442</v>
      </c>
      <c r="AA1127">
        <f t="shared" si="35"/>
        <v>60406</v>
      </c>
      <c r="AB1127">
        <f t="shared" si="34"/>
        <v>0.36613262879602881</v>
      </c>
    </row>
    <row r="1128" spans="1:28">
      <c r="A1128" t="s">
        <v>33</v>
      </c>
      <c r="B1128" s="2">
        <v>45992</v>
      </c>
      <c r="C1128" s="2">
        <v>45962</v>
      </c>
      <c r="D1128" s="2">
        <v>46063</v>
      </c>
      <c r="E1128">
        <v>69369952</v>
      </c>
      <c r="F1128">
        <v>69932138</v>
      </c>
      <c r="G1128">
        <v>562186</v>
      </c>
      <c r="H1128">
        <v>91.77</v>
      </c>
      <c r="I1128">
        <v>1150000</v>
      </c>
      <c r="J1128" t="s">
        <v>51</v>
      </c>
      <c r="K1128">
        <v>1</v>
      </c>
      <c r="L1128">
        <v>1.1499999999999999</v>
      </c>
      <c r="M1128">
        <v>14965437</v>
      </c>
      <c r="N1128">
        <v>15157524</v>
      </c>
      <c r="O1128">
        <v>1</v>
      </c>
      <c r="P1128">
        <v>1</v>
      </c>
      <c r="Q1128">
        <v>19154917</v>
      </c>
      <c r="R1128">
        <v>19330749</v>
      </c>
      <c r="S1128">
        <v>3310283</v>
      </c>
      <c r="T1128">
        <v>3297834</v>
      </c>
      <c r="U1128">
        <v>0</v>
      </c>
      <c r="V1128">
        <v>0</v>
      </c>
      <c r="W1128">
        <v>0</v>
      </c>
      <c r="X1128">
        <v>0</v>
      </c>
      <c r="Y1128">
        <v>31939314</v>
      </c>
      <c r="Z1128">
        <v>32146030</v>
      </c>
      <c r="AA1128">
        <f t="shared" si="35"/>
        <v>175832</v>
      </c>
      <c r="AB1128">
        <f t="shared" si="34"/>
        <v>0.91794707332848269</v>
      </c>
    </row>
    <row r="1129" spans="1:28">
      <c r="A1129" t="s">
        <v>34</v>
      </c>
      <c r="B1129" s="2">
        <v>45992</v>
      </c>
      <c r="C1129" s="2">
        <v>45962</v>
      </c>
      <c r="D1129" s="2">
        <v>46063</v>
      </c>
      <c r="E1129">
        <v>26489909</v>
      </c>
      <c r="F1129">
        <v>26513153</v>
      </c>
      <c r="G1129">
        <v>23244</v>
      </c>
      <c r="H1129">
        <v>92.77</v>
      </c>
      <c r="I1129">
        <v>460000</v>
      </c>
      <c r="J1129" t="s">
        <v>51</v>
      </c>
      <c r="K1129">
        <v>0.41</v>
      </c>
      <c r="L1129">
        <v>0.46</v>
      </c>
      <c r="M1129">
        <v>7697688</v>
      </c>
      <c r="N1129">
        <v>7738016</v>
      </c>
      <c r="O1129">
        <v>0</v>
      </c>
      <c r="P1129">
        <v>0</v>
      </c>
      <c r="Q1129">
        <v>6188042</v>
      </c>
      <c r="R1129">
        <v>6188086</v>
      </c>
      <c r="S1129">
        <v>4453936</v>
      </c>
      <c r="T1129">
        <v>4415510</v>
      </c>
      <c r="U1129">
        <v>0</v>
      </c>
      <c r="V1129">
        <v>0</v>
      </c>
      <c r="W1129">
        <v>0</v>
      </c>
      <c r="X1129">
        <v>0</v>
      </c>
      <c r="Y1129">
        <v>8150243</v>
      </c>
      <c r="Z1129">
        <v>8171541</v>
      </c>
      <c r="AA1129">
        <f t="shared" si="35"/>
        <v>44</v>
      </c>
      <c r="AB1129">
        <f t="shared" si="34"/>
        <v>7.1104882610686872E-4</v>
      </c>
    </row>
    <row r="1130" spans="1:28">
      <c r="A1130" t="s">
        <v>35</v>
      </c>
      <c r="B1130" s="2">
        <v>45992</v>
      </c>
      <c r="C1130" s="2">
        <v>45962</v>
      </c>
      <c r="D1130" s="2">
        <v>46063</v>
      </c>
      <c r="E1130">
        <v>9132616</v>
      </c>
      <c r="F1130">
        <v>9194509</v>
      </c>
      <c r="G1130">
        <v>61893</v>
      </c>
      <c r="H1130">
        <v>101.31</v>
      </c>
      <c r="I1130">
        <v>60000</v>
      </c>
      <c r="J1130" t="s">
        <v>51</v>
      </c>
      <c r="K1130">
        <v>0.06</v>
      </c>
      <c r="L1130">
        <v>0.06</v>
      </c>
      <c r="M1130">
        <v>3613545</v>
      </c>
      <c r="N1130">
        <v>3620122</v>
      </c>
      <c r="O1130">
        <v>0</v>
      </c>
      <c r="P1130">
        <v>0</v>
      </c>
      <c r="Q1130">
        <v>383831</v>
      </c>
      <c r="R1130">
        <v>384325</v>
      </c>
      <c r="S1130">
        <v>1771470</v>
      </c>
      <c r="T1130">
        <v>1766046</v>
      </c>
      <c r="U1130">
        <v>0</v>
      </c>
      <c r="V1130">
        <v>0</v>
      </c>
      <c r="W1130">
        <v>0</v>
      </c>
      <c r="X1130">
        <v>0</v>
      </c>
      <c r="Y1130">
        <v>3363770</v>
      </c>
      <c r="Z1130">
        <v>3424016</v>
      </c>
      <c r="AA1130">
        <f t="shared" si="35"/>
        <v>494</v>
      </c>
      <c r="AB1130">
        <f t="shared" si="34"/>
        <v>0.12870247582920608</v>
      </c>
    </row>
    <row r="1131" spans="1:28">
      <c r="A1131" t="s">
        <v>36</v>
      </c>
      <c r="B1131" s="2">
        <v>45992</v>
      </c>
      <c r="C1131" s="2">
        <v>45962</v>
      </c>
      <c r="D1131" s="2">
        <v>46063</v>
      </c>
      <c r="E1131">
        <v>12866375</v>
      </c>
      <c r="F1131">
        <v>12970683</v>
      </c>
      <c r="G1131">
        <v>104308</v>
      </c>
      <c r="H1131">
        <v>81.87</v>
      </c>
      <c r="I1131">
        <v>70000</v>
      </c>
      <c r="J1131" t="s">
        <v>51</v>
      </c>
      <c r="K1131">
        <v>7.0000000000000007E-2</v>
      </c>
      <c r="L1131">
        <v>7.0000000000000007E-2</v>
      </c>
      <c r="M1131">
        <v>6518075</v>
      </c>
      <c r="N1131">
        <v>6546994</v>
      </c>
      <c r="O1131">
        <v>0</v>
      </c>
      <c r="P1131">
        <v>0</v>
      </c>
      <c r="Q1131">
        <v>250037</v>
      </c>
      <c r="R1131">
        <v>256631</v>
      </c>
      <c r="S1131">
        <v>863999</v>
      </c>
      <c r="T1131">
        <v>855338</v>
      </c>
      <c r="U1131">
        <v>0</v>
      </c>
      <c r="V1131">
        <v>0</v>
      </c>
      <c r="W1131">
        <v>0</v>
      </c>
      <c r="X1131">
        <v>0</v>
      </c>
      <c r="Y1131">
        <v>5234264</v>
      </c>
      <c r="Z1131">
        <v>5311720</v>
      </c>
      <c r="AA1131">
        <f t="shared" si="35"/>
        <v>6594</v>
      </c>
      <c r="AB1131">
        <f t="shared" si="34"/>
        <v>2.6372096929654409</v>
      </c>
    </row>
    <row r="1132" spans="1:28">
      <c r="A1132" t="s">
        <v>37</v>
      </c>
      <c r="B1132" s="2">
        <v>45992</v>
      </c>
      <c r="C1132" s="2">
        <v>45962</v>
      </c>
      <c r="D1132" s="2">
        <v>46063</v>
      </c>
      <c r="E1132">
        <v>80612770</v>
      </c>
      <c r="F1132">
        <v>81265043</v>
      </c>
      <c r="G1132">
        <v>652273</v>
      </c>
      <c r="H1132">
        <v>69.55</v>
      </c>
      <c r="I1132">
        <v>630000</v>
      </c>
      <c r="J1132" t="s">
        <v>51</v>
      </c>
      <c r="K1132">
        <v>0.61</v>
      </c>
      <c r="L1132">
        <v>0.63</v>
      </c>
      <c r="M1132">
        <v>42459160</v>
      </c>
      <c r="N1132">
        <v>43077802</v>
      </c>
      <c r="O1132">
        <v>376</v>
      </c>
      <c r="P1132">
        <v>180</v>
      </c>
      <c r="Q1132">
        <v>7383080</v>
      </c>
      <c r="R1132">
        <v>7356797</v>
      </c>
      <c r="S1132">
        <v>4693660</v>
      </c>
      <c r="T1132">
        <v>4691369</v>
      </c>
      <c r="U1132">
        <v>0</v>
      </c>
      <c r="V1132">
        <v>0</v>
      </c>
      <c r="W1132">
        <v>0</v>
      </c>
      <c r="X1132">
        <v>0</v>
      </c>
      <c r="Y1132">
        <v>26076494</v>
      </c>
      <c r="Z1132">
        <v>26138895</v>
      </c>
      <c r="AA1132">
        <f t="shared" si="35"/>
        <v>-26283</v>
      </c>
      <c r="AB1132">
        <f t="shared" si="34"/>
        <v>-0.35598964117956194</v>
      </c>
    </row>
    <row r="1133" spans="1:28">
      <c r="A1133" t="s">
        <v>38</v>
      </c>
      <c r="B1133" s="2">
        <v>45992</v>
      </c>
      <c r="C1133" s="2">
        <v>45962</v>
      </c>
      <c r="D1133" s="2">
        <v>46063</v>
      </c>
      <c r="E1133">
        <v>42108048</v>
      </c>
      <c r="F1133">
        <v>42199196</v>
      </c>
      <c r="G1133">
        <v>91148</v>
      </c>
      <c r="H1133">
        <v>94.26</v>
      </c>
      <c r="I1133">
        <v>250000</v>
      </c>
      <c r="J1133" t="s">
        <v>51</v>
      </c>
      <c r="K1133">
        <v>0.26</v>
      </c>
      <c r="L1133">
        <v>0.25</v>
      </c>
      <c r="M1133">
        <v>9425094</v>
      </c>
      <c r="N1133">
        <v>9490134</v>
      </c>
      <c r="O1133">
        <v>3</v>
      </c>
      <c r="P1133">
        <v>3</v>
      </c>
      <c r="Q1133">
        <v>12744559</v>
      </c>
      <c r="R1133">
        <v>12738397</v>
      </c>
      <c r="S1133">
        <v>8958276</v>
      </c>
      <c r="T1133">
        <v>8943038</v>
      </c>
      <c r="U1133">
        <v>0</v>
      </c>
      <c r="V1133">
        <v>0</v>
      </c>
      <c r="W1133">
        <v>0</v>
      </c>
      <c r="X1133">
        <v>0</v>
      </c>
      <c r="Y1133">
        <v>10980116</v>
      </c>
      <c r="Z1133">
        <v>11027624</v>
      </c>
      <c r="AA1133">
        <f t="shared" si="35"/>
        <v>-6162</v>
      </c>
      <c r="AB1133">
        <f t="shared" si="34"/>
        <v>-4.8350044909360929E-2</v>
      </c>
    </row>
    <row r="1134" spans="1:28">
      <c r="A1134" t="s">
        <v>39</v>
      </c>
      <c r="B1134" s="2">
        <v>45992</v>
      </c>
      <c r="C1134" s="2">
        <v>45962</v>
      </c>
      <c r="D1134" s="2">
        <v>46063</v>
      </c>
      <c r="E1134">
        <v>22972733</v>
      </c>
      <c r="F1134">
        <v>22974485</v>
      </c>
      <c r="G1134">
        <v>1752</v>
      </c>
      <c r="H1134">
        <v>86.52</v>
      </c>
      <c r="I1134">
        <v>190000</v>
      </c>
      <c r="J1134" t="s">
        <v>51</v>
      </c>
      <c r="K1134">
        <v>0.19</v>
      </c>
      <c r="L1134">
        <v>0.19</v>
      </c>
      <c r="M1134">
        <v>5978735</v>
      </c>
      <c r="N1134">
        <v>6015362</v>
      </c>
      <c r="O1134">
        <v>0</v>
      </c>
      <c r="P1134">
        <v>0</v>
      </c>
      <c r="Q1134">
        <v>4681821</v>
      </c>
      <c r="R1134">
        <v>4629637</v>
      </c>
      <c r="S1134">
        <v>1425482</v>
      </c>
      <c r="T1134">
        <v>1421646</v>
      </c>
      <c r="U1134">
        <v>0</v>
      </c>
      <c r="V1134">
        <v>0</v>
      </c>
      <c r="W1134">
        <v>0</v>
      </c>
      <c r="X1134">
        <v>0</v>
      </c>
      <c r="Y1134">
        <v>10886695</v>
      </c>
      <c r="Z1134">
        <v>10907840</v>
      </c>
      <c r="AA1134">
        <f t="shared" si="35"/>
        <v>-52184</v>
      </c>
      <c r="AB1134">
        <f t="shared" si="34"/>
        <v>-1.1146090378081519</v>
      </c>
    </row>
    <row r="1135" spans="1:28">
      <c r="A1135" t="s">
        <v>40</v>
      </c>
      <c r="B1135" s="2">
        <v>45992</v>
      </c>
      <c r="C1135" s="2">
        <v>45962</v>
      </c>
      <c r="D1135" s="2">
        <v>46063</v>
      </c>
      <c r="E1135">
        <v>83635859</v>
      </c>
      <c r="F1135">
        <v>84198372</v>
      </c>
      <c r="G1135">
        <v>562513</v>
      </c>
      <c r="H1135">
        <v>86.85</v>
      </c>
      <c r="I1135">
        <v>1520000</v>
      </c>
      <c r="J1135" t="s">
        <v>51</v>
      </c>
      <c r="K1135">
        <v>1.4</v>
      </c>
      <c r="L1135">
        <v>1.52</v>
      </c>
      <c r="M1135">
        <v>17771378</v>
      </c>
      <c r="N1135">
        <v>17958418</v>
      </c>
      <c r="O1135">
        <v>0</v>
      </c>
      <c r="P1135">
        <v>0</v>
      </c>
      <c r="Q1135">
        <v>12880011</v>
      </c>
      <c r="R1135">
        <v>12743628</v>
      </c>
      <c r="S1135">
        <v>5141998</v>
      </c>
      <c r="T1135">
        <v>5118695</v>
      </c>
      <c r="U1135">
        <v>0</v>
      </c>
      <c r="V1135">
        <v>0</v>
      </c>
      <c r="W1135">
        <v>0</v>
      </c>
      <c r="X1135">
        <v>0</v>
      </c>
      <c r="Y1135">
        <v>47842472</v>
      </c>
      <c r="Z1135">
        <v>48377631</v>
      </c>
      <c r="AA1135">
        <f t="shared" si="35"/>
        <v>-136383</v>
      </c>
      <c r="AB1135">
        <f t="shared" si="34"/>
        <v>-1.0588733192852087</v>
      </c>
    </row>
    <row r="1136" spans="1:28">
      <c r="A1136" t="s">
        <v>41</v>
      </c>
      <c r="B1136" s="2">
        <v>45992</v>
      </c>
      <c r="C1136" s="2">
        <v>45962</v>
      </c>
      <c r="D1136" s="2">
        <v>46063</v>
      </c>
      <c r="E1136">
        <v>99163831</v>
      </c>
      <c r="F1136">
        <v>100095912</v>
      </c>
      <c r="G1136">
        <v>932081</v>
      </c>
      <c r="H1136">
        <v>94.08</v>
      </c>
      <c r="I1136">
        <v>1090000</v>
      </c>
      <c r="J1136" t="s">
        <v>51</v>
      </c>
      <c r="K1136">
        <v>1.06</v>
      </c>
      <c r="L1136">
        <v>1.0900000000000001</v>
      </c>
      <c r="M1136">
        <v>30002628</v>
      </c>
      <c r="N1136">
        <v>30470911</v>
      </c>
      <c r="O1136">
        <v>0</v>
      </c>
      <c r="P1136">
        <v>0</v>
      </c>
      <c r="Q1136">
        <v>20565441</v>
      </c>
      <c r="R1136">
        <v>20561987</v>
      </c>
      <c r="S1136">
        <v>5338162</v>
      </c>
      <c r="T1136">
        <v>5309578</v>
      </c>
      <c r="U1136">
        <v>0</v>
      </c>
      <c r="V1136">
        <v>0</v>
      </c>
      <c r="W1136">
        <v>0</v>
      </c>
      <c r="X1136">
        <v>0</v>
      </c>
      <c r="Y1136">
        <v>43257600</v>
      </c>
      <c r="Z1136">
        <v>43753436</v>
      </c>
      <c r="AA1136">
        <f t="shared" si="35"/>
        <v>-3454</v>
      </c>
      <c r="AB1136">
        <f t="shared" si="34"/>
        <v>-1.6795166220845932E-2</v>
      </c>
    </row>
    <row r="1137" spans="1:28">
      <c r="A1137" t="s">
        <v>42</v>
      </c>
      <c r="B1137" s="2">
        <v>45992</v>
      </c>
      <c r="C1137" s="2">
        <v>45962</v>
      </c>
      <c r="D1137" s="2">
        <v>46063</v>
      </c>
      <c r="E1137">
        <v>39534972</v>
      </c>
      <c r="F1137">
        <v>39690215</v>
      </c>
      <c r="G1137">
        <v>155243</v>
      </c>
      <c r="H1137">
        <v>70.45</v>
      </c>
      <c r="I1137">
        <v>270000</v>
      </c>
      <c r="J1137" t="s">
        <v>51</v>
      </c>
      <c r="K1137">
        <v>0.25</v>
      </c>
      <c r="L1137">
        <v>0.27</v>
      </c>
      <c r="M1137">
        <v>15357972</v>
      </c>
      <c r="N1137">
        <v>15515681</v>
      </c>
      <c r="O1137">
        <v>80</v>
      </c>
      <c r="P1137">
        <v>54</v>
      </c>
      <c r="Q1137">
        <v>10768783</v>
      </c>
      <c r="R1137">
        <v>10772169</v>
      </c>
      <c r="S1137">
        <v>0</v>
      </c>
      <c r="T1137">
        <v>0</v>
      </c>
      <c r="U1137">
        <v>0</v>
      </c>
      <c r="V1137">
        <v>0</v>
      </c>
      <c r="W1137">
        <v>98027</v>
      </c>
      <c r="X1137">
        <v>96241</v>
      </c>
      <c r="Y1137">
        <v>13310110</v>
      </c>
      <c r="Z1137">
        <v>13306070</v>
      </c>
      <c r="AA1137">
        <f t="shared" si="35"/>
        <v>3386</v>
      </c>
      <c r="AB1137">
        <f t="shared" si="34"/>
        <v>3.1442735915469741E-2</v>
      </c>
    </row>
    <row r="1138" spans="1:28">
      <c r="A1138" t="s">
        <v>43</v>
      </c>
      <c r="B1138" s="2">
        <v>45992</v>
      </c>
      <c r="C1138" s="2">
        <v>45962</v>
      </c>
      <c r="D1138" s="2">
        <v>46063</v>
      </c>
      <c r="E1138">
        <v>12888126</v>
      </c>
      <c r="F1138">
        <v>13020074</v>
      </c>
      <c r="G1138">
        <v>131948</v>
      </c>
      <c r="H1138">
        <v>95.96</v>
      </c>
      <c r="I1138">
        <v>30000</v>
      </c>
      <c r="J1138" t="s">
        <v>51</v>
      </c>
      <c r="K1138">
        <v>0.03</v>
      </c>
      <c r="L1138">
        <v>0.03</v>
      </c>
      <c r="M1138">
        <v>6559955</v>
      </c>
      <c r="N1138">
        <v>6614464</v>
      </c>
      <c r="O1138">
        <v>0</v>
      </c>
      <c r="P1138">
        <v>0</v>
      </c>
      <c r="Q1138">
        <v>609261</v>
      </c>
      <c r="R1138">
        <v>604704</v>
      </c>
      <c r="S1138">
        <v>1294812</v>
      </c>
      <c r="T1138">
        <v>1293623</v>
      </c>
      <c r="U1138">
        <v>0</v>
      </c>
      <c r="V1138">
        <v>0</v>
      </c>
      <c r="W1138">
        <v>0</v>
      </c>
      <c r="X1138">
        <v>0</v>
      </c>
      <c r="Y1138">
        <v>4424098</v>
      </c>
      <c r="Z1138">
        <v>4507283</v>
      </c>
      <c r="AA1138">
        <f t="shared" si="35"/>
        <v>-4557</v>
      </c>
      <c r="AB1138">
        <f t="shared" si="34"/>
        <v>-0.7479553097933398</v>
      </c>
    </row>
    <row r="1139" spans="1:28">
      <c r="A1139" t="s">
        <v>44</v>
      </c>
      <c r="B1139" s="2">
        <v>45992</v>
      </c>
      <c r="C1139" s="2">
        <v>45962</v>
      </c>
      <c r="D1139" s="2">
        <v>46063</v>
      </c>
      <c r="E1139">
        <v>37082947</v>
      </c>
      <c r="F1139">
        <v>37262298</v>
      </c>
      <c r="G1139">
        <v>179351</v>
      </c>
      <c r="H1139">
        <v>88.23</v>
      </c>
      <c r="I1139">
        <v>250000</v>
      </c>
      <c r="J1139" t="s">
        <v>51</v>
      </c>
      <c r="K1139">
        <v>0.25</v>
      </c>
      <c r="L1139">
        <v>0.25</v>
      </c>
      <c r="M1139">
        <v>12966363</v>
      </c>
      <c r="N1139">
        <v>12999819</v>
      </c>
      <c r="O1139">
        <v>0</v>
      </c>
      <c r="P1139">
        <v>0</v>
      </c>
      <c r="Q1139">
        <v>1490368</v>
      </c>
      <c r="R1139">
        <v>1489987</v>
      </c>
      <c r="S1139">
        <v>5532821</v>
      </c>
      <c r="T1139">
        <v>5518354</v>
      </c>
      <c r="U1139">
        <v>0</v>
      </c>
      <c r="V1139">
        <v>0</v>
      </c>
      <c r="W1139">
        <v>0</v>
      </c>
      <c r="X1139">
        <v>0</v>
      </c>
      <c r="Y1139">
        <v>17093395</v>
      </c>
      <c r="Z1139">
        <v>17254138</v>
      </c>
      <c r="AA1139">
        <f t="shared" si="35"/>
        <v>-381</v>
      </c>
      <c r="AB1139">
        <f t="shared" si="34"/>
        <v>-2.5564155966848454E-2</v>
      </c>
    </row>
    <row r="1140" spans="1:28">
      <c r="A1140" t="s">
        <v>45</v>
      </c>
      <c r="B1140" s="2">
        <v>45992</v>
      </c>
      <c r="C1140" s="2">
        <v>45962</v>
      </c>
      <c r="D1140" s="2">
        <v>46063</v>
      </c>
      <c r="E1140">
        <v>35047101</v>
      </c>
      <c r="F1140">
        <v>35108678</v>
      </c>
      <c r="G1140">
        <v>61577</v>
      </c>
      <c r="H1140">
        <v>92.83</v>
      </c>
      <c r="I1140">
        <v>400000</v>
      </c>
      <c r="J1140" t="s">
        <v>51</v>
      </c>
      <c r="K1140">
        <v>0.35</v>
      </c>
      <c r="L1140">
        <v>0.4</v>
      </c>
      <c r="M1140">
        <v>13791710</v>
      </c>
      <c r="N1140">
        <v>13861756</v>
      </c>
      <c r="O1140">
        <v>6</v>
      </c>
      <c r="P1140">
        <v>5</v>
      </c>
      <c r="Q1140">
        <v>5662904</v>
      </c>
      <c r="R1140">
        <v>5632742</v>
      </c>
      <c r="S1140">
        <v>4091509</v>
      </c>
      <c r="T1140">
        <v>4091509</v>
      </c>
      <c r="U1140">
        <v>0</v>
      </c>
      <c r="V1140">
        <v>0</v>
      </c>
      <c r="W1140">
        <v>0</v>
      </c>
      <c r="X1140">
        <v>0</v>
      </c>
      <c r="Y1140">
        <v>11500972</v>
      </c>
      <c r="Z1140">
        <v>11522666</v>
      </c>
      <c r="AA1140">
        <f t="shared" si="35"/>
        <v>-30162</v>
      </c>
      <c r="AB1140">
        <f t="shared" si="34"/>
        <v>-0.53262425073778408</v>
      </c>
    </row>
    <row r="1141" spans="1:28">
      <c r="A1141" t="s">
        <v>46</v>
      </c>
      <c r="B1141" s="2">
        <v>45992</v>
      </c>
      <c r="C1141" s="2">
        <v>45962</v>
      </c>
      <c r="D1141" s="2">
        <v>46063</v>
      </c>
      <c r="E1141">
        <v>65878710</v>
      </c>
      <c r="F1141">
        <v>66524531</v>
      </c>
      <c r="G1141">
        <v>645821</v>
      </c>
      <c r="H1141">
        <v>93.24</v>
      </c>
      <c r="I1141">
        <v>930000</v>
      </c>
      <c r="J1141" t="s">
        <v>51</v>
      </c>
      <c r="K1141">
        <v>0.78</v>
      </c>
      <c r="L1141">
        <v>0.93</v>
      </c>
      <c r="M1141">
        <v>24573899</v>
      </c>
      <c r="N1141">
        <v>25146992</v>
      </c>
      <c r="O1141">
        <v>51</v>
      </c>
      <c r="P1141">
        <v>46</v>
      </c>
      <c r="Q1141">
        <v>8486300</v>
      </c>
      <c r="R1141">
        <v>8430864</v>
      </c>
      <c r="S1141">
        <v>5739076</v>
      </c>
      <c r="T1141">
        <v>5726617</v>
      </c>
      <c r="U1141">
        <v>0</v>
      </c>
      <c r="V1141">
        <v>0</v>
      </c>
      <c r="W1141">
        <v>0</v>
      </c>
      <c r="X1141">
        <v>0</v>
      </c>
      <c r="Y1141">
        <v>27079384</v>
      </c>
      <c r="Z1141">
        <v>27220012</v>
      </c>
      <c r="AA1141">
        <f t="shared" si="35"/>
        <v>-55436</v>
      </c>
      <c r="AB1141">
        <f t="shared" si="34"/>
        <v>-0.65324110625360876</v>
      </c>
    </row>
    <row r="1142" spans="1:28">
      <c r="A1142" t="s">
        <v>47</v>
      </c>
      <c r="B1142" s="2">
        <v>45992</v>
      </c>
      <c r="C1142" s="2">
        <v>45962</v>
      </c>
      <c r="D1142" s="2">
        <v>46063</v>
      </c>
      <c r="E1142">
        <v>79303876</v>
      </c>
      <c r="F1142">
        <v>79552137</v>
      </c>
      <c r="G1142">
        <v>248261</v>
      </c>
      <c r="H1142">
        <v>79.64</v>
      </c>
      <c r="I1142">
        <v>650000</v>
      </c>
      <c r="J1142" t="s">
        <v>51</v>
      </c>
      <c r="K1142">
        <v>0.62</v>
      </c>
      <c r="L1142">
        <v>0.65</v>
      </c>
      <c r="M1142">
        <v>32322490</v>
      </c>
      <c r="N1142">
        <v>32537397</v>
      </c>
      <c r="O1142">
        <v>0</v>
      </c>
      <c r="P1142">
        <v>0</v>
      </c>
      <c r="Q1142">
        <v>14293839</v>
      </c>
      <c r="R1142">
        <v>14252019</v>
      </c>
      <c r="S1142">
        <v>7975145</v>
      </c>
      <c r="T1142">
        <v>8015763</v>
      </c>
      <c r="U1142">
        <v>0</v>
      </c>
      <c r="V1142">
        <v>0</v>
      </c>
      <c r="W1142">
        <v>0</v>
      </c>
      <c r="X1142">
        <v>0</v>
      </c>
      <c r="Y1142">
        <v>24712402</v>
      </c>
      <c r="Z1142">
        <v>24746958</v>
      </c>
      <c r="AA1142">
        <f t="shared" si="35"/>
        <v>-41820</v>
      </c>
      <c r="AB1142">
        <f t="shared" si="34"/>
        <v>-0.29257360461384796</v>
      </c>
    </row>
    <row r="1143" spans="1:28">
      <c r="A1143" t="s">
        <v>48</v>
      </c>
      <c r="B1143" s="2">
        <v>45992</v>
      </c>
      <c r="C1143" s="2">
        <v>45962</v>
      </c>
      <c r="D1143" s="2">
        <v>46063</v>
      </c>
      <c r="E1143">
        <v>106960857</v>
      </c>
      <c r="F1143">
        <v>107976101</v>
      </c>
      <c r="G1143">
        <v>1015244</v>
      </c>
      <c r="H1143">
        <v>89.28</v>
      </c>
      <c r="I1143">
        <v>2300000</v>
      </c>
      <c r="J1143" t="s">
        <v>51</v>
      </c>
      <c r="K1143">
        <v>1.97</v>
      </c>
      <c r="L1143">
        <v>2.2999999999999998</v>
      </c>
      <c r="M1143">
        <v>39120178</v>
      </c>
      <c r="N1143">
        <v>39706971</v>
      </c>
      <c r="O1143">
        <v>0</v>
      </c>
      <c r="P1143">
        <v>0</v>
      </c>
      <c r="Q1143">
        <v>15729073</v>
      </c>
      <c r="R1143">
        <v>15697417</v>
      </c>
      <c r="S1143">
        <v>8449052</v>
      </c>
      <c r="T1143">
        <v>8434932</v>
      </c>
      <c r="U1143">
        <v>0</v>
      </c>
      <c r="V1143">
        <v>0</v>
      </c>
      <c r="W1143">
        <v>0</v>
      </c>
      <c r="X1143">
        <v>0</v>
      </c>
      <c r="Y1143">
        <v>43662554</v>
      </c>
      <c r="Z1143">
        <v>44136781</v>
      </c>
      <c r="AA1143">
        <f t="shared" si="35"/>
        <v>-31656</v>
      </c>
      <c r="AB1143">
        <f t="shared" si="34"/>
        <v>-0.20125788722577614</v>
      </c>
    </row>
    <row r="1144" spans="1:28">
      <c r="A1144" t="s">
        <v>49</v>
      </c>
      <c r="B1144" s="2">
        <v>45992</v>
      </c>
      <c r="C1144" s="2">
        <v>45962</v>
      </c>
      <c r="D1144" s="2">
        <v>46063</v>
      </c>
      <c r="E1144">
        <v>64753982</v>
      </c>
      <c r="F1144">
        <v>64732296</v>
      </c>
      <c r="G1144">
        <v>-21686</v>
      </c>
      <c r="H1144">
        <v>91.73</v>
      </c>
      <c r="I1144">
        <v>1560000</v>
      </c>
      <c r="J1144" t="s">
        <v>51</v>
      </c>
      <c r="K1144">
        <v>1.35</v>
      </c>
      <c r="L1144">
        <v>1.56</v>
      </c>
      <c r="M1144">
        <v>21118508</v>
      </c>
      <c r="N1144">
        <v>21435119</v>
      </c>
      <c r="O1144">
        <v>0</v>
      </c>
      <c r="P1144">
        <v>0</v>
      </c>
      <c r="Q1144">
        <v>13119911</v>
      </c>
      <c r="R1144">
        <v>12794824</v>
      </c>
      <c r="S1144">
        <v>5222783</v>
      </c>
      <c r="T1144">
        <v>5210728</v>
      </c>
      <c r="U1144">
        <v>0</v>
      </c>
      <c r="V1144">
        <v>0</v>
      </c>
      <c r="W1144">
        <v>0</v>
      </c>
      <c r="X1144">
        <v>0</v>
      </c>
      <c r="Y1144">
        <v>25292780</v>
      </c>
      <c r="Z1144">
        <v>25291625</v>
      </c>
      <c r="AA1144">
        <f t="shared" si="35"/>
        <v>-325087</v>
      </c>
      <c r="AB1144">
        <f t="shared" si="34"/>
        <v>-2.4778140644399187</v>
      </c>
    </row>
    <row r="1145" spans="1:28">
      <c r="A1145" t="s">
        <v>50</v>
      </c>
      <c r="B1145" s="2">
        <v>45992</v>
      </c>
      <c r="C1145" s="2">
        <v>45962</v>
      </c>
      <c r="D1145" s="2">
        <v>46063</v>
      </c>
      <c r="E1145">
        <v>57568573</v>
      </c>
      <c r="F1145">
        <v>57479924</v>
      </c>
      <c r="G1145">
        <v>-88649</v>
      </c>
      <c r="H1145">
        <v>89.36</v>
      </c>
      <c r="I1145">
        <v>1290000</v>
      </c>
      <c r="J1145" t="s">
        <v>51</v>
      </c>
      <c r="K1145">
        <v>1.26</v>
      </c>
      <c r="L1145">
        <v>1.29</v>
      </c>
      <c r="M1145">
        <v>18679650</v>
      </c>
      <c r="N1145">
        <v>18697178</v>
      </c>
      <c r="O1145">
        <v>4</v>
      </c>
      <c r="P1145">
        <v>4</v>
      </c>
      <c r="Q1145">
        <v>10763269</v>
      </c>
      <c r="R1145">
        <v>10549487</v>
      </c>
      <c r="S1145">
        <v>2650918</v>
      </c>
      <c r="T1145">
        <v>2641993</v>
      </c>
      <c r="U1145">
        <v>0</v>
      </c>
      <c r="V1145">
        <v>0</v>
      </c>
      <c r="W1145">
        <v>0</v>
      </c>
      <c r="X1145">
        <v>0</v>
      </c>
      <c r="Y1145">
        <v>25474732</v>
      </c>
      <c r="Z1145">
        <v>25591262</v>
      </c>
      <c r="AA1145">
        <f t="shared" si="35"/>
        <v>-213782</v>
      </c>
      <c r="AB1145">
        <f t="shared" si="34"/>
        <v>-1.9862181275967368</v>
      </c>
    </row>
    <row r="1146" spans="1:28">
      <c r="A1146" t="s">
        <v>28</v>
      </c>
      <c r="B1146" s="2">
        <v>46023</v>
      </c>
      <c r="C1146" s="2">
        <v>45992</v>
      </c>
      <c r="D1146" s="2">
        <v>46100</v>
      </c>
      <c r="E1146">
        <v>85922880</v>
      </c>
      <c r="F1146">
        <v>86372752</v>
      </c>
      <c r="G1146">
        <v>449872</v>
      </c>
      <c r="H1146">
        <v>95.61</v>
      </c>
      <c r="I1146">
        <v>680000</v>
      </c>
      <c r="J1146" t="s">
        <v>51</v>
      </c>
      <c r="K1146">
        <v>0.69</v>
      </c>
      <c r="L1146">
        <v>0.68</v>
      </c>
      <c r="M1146">
        <v>37693735</v>
      </c>
      <c r="N1146">
        <v>37999714</v>
      </c>
      <c r="O1146">
        <v>0</v>
      </c>
      <c r="P1146">
        <v>0</v>
      </c>
      <c r="Q1146">
        <v>8913709</v>
      </c>
      <c r="R1146">
        <v>8853196</v>
      </c>
      <c r="S1146">
        <v>7420443</v>
      </c>
      <c r="T1146">
        <v>7489371</v>
      </c>
      <c r="U1146">
        <v>0</v>
      </c>
      <c r="V1146">
        <v>0</v>
      </c>
      <c r="W1146">
        <v>0</v>
      </c>
      <c r="X1146">
        <v>0</v>
      </c>
      <c r="Y1146">
        <v>31894993</v>
      </c>
      <c r="Z1146">
        <v>32030471</v>
      </c>
      <c r="AA1146">
        <f t="shared" si="35"/>
        <v>-60513</v>
      </c>
      <c r="AB1146">
        <f t="shared" si="34"/>
        <v>-0.67887565097761216</v>
      </c>
    </row>
    <row r="1147" spans="1:28">
      <c r="A1147" t="s">
        <v>30</v>
      </c>
      <c r="B1147" s="2">
        <v>46023</v>
      </c>
      <c r="C1147" s="2">
        <v>45992</v>
      </c>
      <c r="D1147" s="2">
        <v>46100</v>
      </c>
      <c r="E1147">
        <v>28234716</v>
      </c>
      <c r="F1147">
        <v>28358944</v>
      </c>
      <c r="G1147">
        <v>124228</v>
      </c>
      <c r="H1147">
        <v>90.27</v>
      </c>
      <c r="I1147">
        <v>120000</v>
      </c>
      <c r="J1147" t="s">
        <v>51</v>
      </c>
      <c r="K1147">
        <v>0.13</v>
      </c>
      <c r="L1147">
        <v>0.12</v>
      </c>
      <c r="M1147">
        <v>13961808</v>
      </c>
      <c r="N1147">
        <v>14078593</v>
      </c>
      <c r="O1147">
        <v>0</v>
      </c>
      <c r="P1147">
        <v>0</v>
      </c>
      <c r="Q1147">
        <v>1451538</v>
      </c>
      <c r="R1147">
        <v>1454471</v>
      </c>
      <c r="S1147">
        <v>2951850</v>
      </c>
      <c r="T1147">
        <v>2950889</v>
      </c>
      <c r="U1147">
        <v>0</v>
      </c>
      <c r="V1147">
        <v>0</v>
      </c>
      <c r="W1147">
        <v>0</v>
      </c>
      <c r="X1147">
        <v>0</v>
      </c>
      <c r="Y1147">
        <v>9869520</v>
      </c>
      <c r="Z1147">
        <v>9874991</v>
      </c>
      <c r="AA1147">
        <f t="shared" si="35"/>
        <v>2933</v>
      </c>
      <c r="AB1147">
        <f t="shared" si="34"/>
        <v>0.2020615374864454</v>
      </c>
    </row>
    <row r="1148" spans="1:28">
      <c r="A1148" t="s">
        <v>31</v>
      </c>
      <c r="B1148" s="2">
        <v>46023</v>
      </c>
      <c r="C1148" s="2">
        <v>45992</v>
      </c>
      <c r="D1148" s="2">
        <v>46100</v>
      </c>
      <c r="E1148">
        <v>104503659</v>
      </c>
      <c r="F1148">
        <v>105598825</v>
      </c>
      <c r="G1148">
        <v>1095166</v>
      </c>
      <c r="H1148">
        <v>84.89</v>
      </c>
      <c r="I1148">
        <v>1440000</v>
      </c>
      <c r="J1148" t="s">
        <v>51</v>
      </c>
      <c r="K1148">
        <v>1.45</v>
      </c>
      <c r="L1148">
        <v>1.44</v>
      </c>
      <c r="M1148">
        <v>47410246</v>
      </c>
      <c r="N1148">
        <v>48205639</v>
      </c>
      <c r="O1148">
        <v>0</v>
      </c>
      <c r="P1148">
        <v>0</v>
      </c>
      <c r="Q1148">
        <v>7432810</v>
      </c>
      <c r="R1148">
        <v>7360582</v>
      </c>
      <c r="S1148">
        <v>5631850</v>
      </c>
      <c r="T1148">
        <v>5645447</v>
      </c>
      <c r="U1148">
        <v>0</v>
      </c>
      <c r="V1148">
        <v>0</v>
      </c>
      <c r="W1148">
        <v>0</v>
      </c>
      <c r="X1148">
        <v>0</v>
      </c>
      <c r="Y1148">
        <v>44028753</v>
      </c>
      <c r="Z1148">
        <v>44387157</v>
      </c>
      <c r="AA1148">
        <f t="shared" si="35"/>
        <v>-72228</v>
      </c>
      <c r="AB1148">
        <f t="shared" si="34"/>
        <v>-0.97174554441725269</v>
      </c>
    </row>
    <row r="1149" spans="1:28">
      <c r="A1149" t="s">
        <v>32</v>
      </c>
      <c r="B1149" s="2">
        <v>46023</v>
      </c>
      <c r="C1149" s="2">
        <v>45992</v>
      </c>
      <c r="D1149" s="2">
        <v>46100</v>
      </c>
      <c r="E1149">
        <v>74845237</v>
      </c>
      <c r="F1149">
        <v>75032596</v>
      </c>
      <c r="G1149">
        <v>187359</v>
      </c>
      <c r="H1149">
        <v>51.46</v>
      </c>
      <c r="I1149">
        <v>740000</v>
      </c>
      <c r="J1149" t="s">
        <v>51</v>
      </c>
      <c r="K1149">
        <v>0.75</v>
      </c>
      <c r="L1149">
        <v>0.74</v>
      </c>
      <c r="M1149">
        <v>37727940</v>
      </c>
      <c r="N1149">
        <v>37956746</v>
      </c>
      <c r="O1149">
        <v>2</v>
      </c>
      <c r="P1149">
        <v>2</v>
      </c>
      <c r="Q1149">
        <v>16558799</v>
      </c>
      <c r="R1149">
        <v>16511485</v>
      </c>
      <c r="S1149">
        <v>0</v>
      </c>
      <c r="T1149">
        <v>0</v>
      </c>
      <c r="U1149">
        <v>0</v>
      </c>
      <c r="V1149">
        <v>0</v>
      </c>
      <c r="W1149">
        <v>137054</v>
      </c>
      <c r="X1149">
        <v>135776</v>
      </c>
      <c r="Y1149">
        <v>20421442</v>
      </c>
      <c r="Z1149">
        <v>20428587</v>
      </c>
      <c r="AA1149">
        <f t="shared" si="35"/>
        <v>-47314</v>
      </c>
      <c r="AB1149">
        <f t="shared" si="34"/>
        <v>-0.28573328295125749</v>
      </c>
    </row>
    <row r="1150" spans="1:28">
      <c r="A1150" t="s">
        <v>33</v>
      </c>
      <c r="B1150" s="2">
        <v>46023</v>
      </c>
      <c r="C1150" s="2">
        <v>45992</v>
      </c>
      <c r="D1150" s="2">
        <v>46100</v>
      </c>
      <c r="E1150">
        <v>69932138</v>
      </c>
      <c r="F1150">
        <v>70308056</v>
      </c>
      <c r="G1150">
        <v>375918</v>
      </c>
      <c r="H1150">
        <v>91.73</v>
      </c>
      <c r="I1150">
        <v>1090000</v>
      </c>
      <c r="J1150" t="s">
        <v>51</v>
      </c>
      <c r="K1150">
        <v>1.1499999999999999</v>
      </c>
      <c r="L1150">
        <v>1.0900000000000001</v>
      </c>
      <c r="M1150">
        <v>15157524</v>
      </c>
      <c r="N1150">
        <v>15339085</v>
      </c>
      <c r="O1150">
        <v>1</v>
      </c>
      <c r="P1150">
        <v>1</v>
      </c>
      <c r="Q1150">
        <v>19330749</v>
      </c>
      <c r="R1150">
        <v>19382645</v>
      </c>
      <c r="S1150">
        <v>3297834</v>
      </c>
      <c r="T1150">
        <v>3298684</v>
      </c>
      <c r="U1150">
        <v>0</v>
      </c>
      <c r="V1150">
        <v>0</v>
      </c>
      <c r="W1150">
        <v>0</v>
      </c>
      <c r="X1150">
        <v>0</v>
      </c>
      <c r="Y1150">
        <v>32146030</v>
      </c>
      <c r="Z1150">
        <v>32287641</v>
      </c>
      <c r="AA1150">
        <f t="shared" si="35"/>
        <v>51896</v>
      </c>
      <c r="AB1150">
        <f t="shared" si="34"/>
        <v>0.2684634723672632</v>
      </c>
    </row>
    <row r="1151" spans="1:28">
      <c r="A1151" t="s">
        <v>34</v>
      </c>
      <c r="B1151" s="2">
        <v>46023</v>
      </c>
      <c r="C1151" s="2">
        <v>45992</v>
      </c>
      <c r="D1151" s="2">
        <v>46100</v>
      </c>
      <c r="E1151">
        <v>26513153</v>
      </c>
      <c r="F1151">
        <v>26580197</v>
      </c>
      <c r="G1151">
        <v>67044</v>
      </c>
      <c r="H1151">
        <v>92.49</v>
      </c>
      <c r="I1151">
        <v>460000</v>
      </c>
      <c r="J1151" t="s">
        <v>51</v>
      </c>
      <c r="K1151">
        <v>0.46</v>
      </c>
      <c r="L1151">
        <v>0.46</v>
      </c>
      <c r="M1151">
        <v>7738016</v>
      </c>
      <c r="N1151">
        <v>7771855</v>
      </c>
      <c r="O1151">
        <v>0</v>
      </c>
      <c r="P1151">
        <v>0</v>
      </c>
      <c r="Q1151">
        <v>6188086</v>
      </c>
      <c r="R1151">
        <v>6195167</v>
      </c>
      <c r="S1151">
        <v>4415510</v>
      </c>
      <c r="T1151">
        <v>4426395</v>
      </c>
      <c r="U1151">
        <v>0</v>
      </c>
      <c r="V1151">
        <v>0</v>
      </c>
      <c r="W1151">
        <v>0</v>
      </c>
      <c r="X1151">
        <v>0</v>
      </c>
      <c r="Y1151">
        <v>8171541</v>
      </c>
      <c r="Z1151">
        <v>8186780</v>
      </c>
      <c r="AA1151">
        <f t="shared" si="35"/>
        <v>7081</v>
      </c>
      <c r="AB1151">
        <f t="shared" si="34"/>
        <v>0.11442956675133474</v>
      </c>
    </row>
    <row r="1152" spans="1:28">
      <c r="A1152" t="s">
        <v>35</v>
      </c>
      <c r="B1152" s="2">
        <v>46023</v>
      </c>
      <c r="C1152" s="2">
        <v>45992</v>
      </c>
      <c r="D1152" s="2">
        <v>46100</v>
      </c>
      <c r="E1152">
        <v>9194509</v>
      </c>
      <c r="F1152">
        <v>9276656</v>
      </c>
      <c r="G1152">
        <v>82147</v>
      </c>
      <c r="H1152">
        <v>98.5</v>
      </c>
      <c r="I1152">
        <v>60000</v>
      </c>
      <c r="J1152" t="s">
        <v>51</v>
      </c>
      <c r="K1152">
        <v>0.06</v>
      </c>
      <c r="L1152">
        <v>0.06</v>
      </c>
      <c r="M1152">
        <v>3620122</v>
      </c>
      <c r="N1152">
        <v>3632072</v>
      </c>
      <c r="O1152">
        <v>0</v>
      </c>
      <c r="P1152">
        <v>0</v>
      </c>
      <c r="Q1152">
        <v>384325</v>
      </c>
      <c r="R1152">
        <v>386636</v>
      </c>
      <c r="S1152">
        <v>1766046</v>
      </c>
      <c r="T1152">
        <v>1779691</v>
      </c>
      <c r="U1152">
        <v>0</v>
      </c>
      <c r="V1152">
        <v>0</v>
      </c>
      <c r="W1152">
        <v>0</v>
      </c>
      <c r="X1152">
        <v>0</v>
      </c>
      <c r="Y1152">
        <v>3424016</v>
      </c>
      <c r="Z1152">
        <v>3478257</v>
      </c>
      <c r="AA1152">
        <f t="shared" si="35"/>
        <v>2311</v>
      </c>
      <c r="AB1152">
        <f t="shared" si="34"/>
        <v>0.60131399206400826</v>
      </c>
    </row>
    <row r="1153" spans="1:28">
      <c r="A1153" t="s">
        <v>36</v>
      </c>
      <c r="B1153" s="2">
        <v>46023</v>
      </c>
      <c r="C1153" s="2">
        <v>45992</v>
      </c>
      <c r="D1153" s="2">
        <v>46100</v>
      </c>
      <c r="E1153">
        <v>12970683</v>
      </c>
      <c r="F1153">
        <v>13111824</v>
      </c>
      <c r="G1153">
        <v>141141</v>
      </c>
      <c r="H1153">
        <v>79.209999999999994</v>
      </c>
      <c r="I1153">
        <v>70000</v>
      </c>
      <c r="J1153" t="s">
        <v>51</v>
      </c>
      <c r="K1153">
        <v>7.0000000000000007E-2</v>
      </c>
      <c r="L1153">
        <v>7.0000000000000007E-2</v>
      </c>
      <c r="M1153">
        <v>6546994</v>
      </c>
      <c r="N1153">
        <v>6590080</v>
      </c>
      <c r="O1153">
        <v>0</v>
      </c>
      <c r="P1153">
        <v>0</v>
      </c>
      <c r="Q1153">
        <v>256631</v>
      </c>
      <c r="R1153">
        <v>263476</v>
      </c>
      <c r="S1153">
        <v>855338</v>
      </c>
      <c r="T1153">
        <v>856454</v>
      </c>
      <c r="U1153">
        <v>0</v>
      </c>
      <c r="V1153">
        <v>0</v>
      </c>
      <c r="W1153">
        <v>0</v>
      </c>
      <c r="X1153">
        <v>0</v>
      </c>
      <c r="Y1153">
        <v>5311720</v>
      </c>
      <c r="Z1153">
        <v>5401814</v>
      </c>
      <c r="AA1153">
        <f t="shared" si="35"/>
        <v>6845</v>
      </c>
      <c r="AB1153">
        <f t="shared" si="34"/>
        <v>2.6672537612369513</v>
      </c>
    </row>
    <row r="1154" spans="1:28">
      <c r="A1154" t="s">
        <v>37</v>
      </c>
      <c r="B1154" s="2">
        <v>46023</v>
      </c>
      <c r="C1154" s="2">
        <v>45992</v>
      </c>
      <c r="D1154" s="2">
        <v>46100</v>
      </c>
      <c r="E1154">
        <v>81265043</v>
      </c>
      <c r="F1154">
        <v>81700909</v>
      </c>
      <c r="G1154">
        <v>435866</v>
      </c>
      <c r="H1154">
        <v>68.400000000000006</v>
      </c>
      <c r="I1154">
        <v>620000</v>
      </c>
      <c r="J1154" t="s">
        <v>51</v>
      </c>
      <c r="K1154">
        <v>0.63</v>
      </c>
      <c r="L1154">
        <v>0.62</v>
      </c>
      <c r="M1154">
        <v>43077802</v>
      </c>
      <c r="N1154">
        <v>43330426</v>
      </c>
      <c r="O1154">
        <v>180</v>
      </c>
      <c r="P1154">
        <v>156</v>
      </c>
      <c r="Q1154">
        <v>7356797</v>
      </c>
      <c r="R1154">
        <v>7547414</v>
      </c>
      <c r="S1154">
        <v>4691369</v>
      </c>
      <c r="T1154">
        <v>4713937</v>
      </c>
      <c r="U1154">
        <v>0</v>
      </c>
      <c r="V1154">
        <v>0</v>
      </c>
      <c r="W1154">
        <v>0</v>
      </c>
      <c r="X1154">
        <v>0</v>
      </c>
      <c r="Y1154">
        <v>26138895</v>
      </c>
      <c r="Z1154">
        <v>26108976</v>
      </c>
      <c r="AA1154">
        <f t="shared" si="35"/>
        <v>190617</v>
      </c>
      <c r="AB1154">
        <f t="shared" si="34"/>
        <v>2.5910324832940206</v>
      </c>
    </row>
    <row r="1155" spans="1:28">
      <c r="A1155" t="s">
        <v>38</v>
      </c>
      <c r="B1155" s="2">
        <v>46023</v>
      </c>
      <c r="C1155" s="2">
        <v>45992</v>
      </c>
      <c r="D1155" s="2">
        <v>46100</v>
      </c>
      <c r="E1155">
        <v>42199196</v>
      </c>
      <c r="F1155">
        <v>42320169</v>
      </c>
      <c r="G1155">
        <v>120973</v>
      </c>
      <c r="H1155">
        <v>94.23</v>
      </c>
      <c r="I1155">
        <v>250000</v>
      </c>
      <c r="J1155" t="s">
        <v>51</v>
      </c>
      <c r="K1155">
        <v>0.25</v>
      </c>
      <c r="L1155">
        <v>0.25</v>
      </c>
      <c r="M1155">
        <v>9490134</v>
      </c>
      <c r="N1155">
        <v>9543880</v>
      </c>
      <c r="O1155">
        <v>3</v>
      </c>
      <c r="P1155">
        <v>4</v>
      </c>
      <c r="Q1155">
        <v>12738397</v>
      </c>
      <c r="R1155">
        <v>12743492</v>
      </c>
      <c r="S1155">
        <v>8943038</v>
      </c>
      <c r="T1155">
        <v>8974130</v>
      </c>
      <c r="U1155">
        <v>0</v>
      </c>
      <c r="V1155">
        <v>0</v>
      </c>
      <c r="W1155">
        <v>0</v>
      </c>
      <c r="X1155">
        <v>0</v>
      </c>
      <c r="Y1155">
        <v>11027624</v>
      </c>
      <c r="Z1155">
        <v>11058663</v>
      </c>
      <c r="AA1155">
        <f t="shared" si="35"/>
        <v>5095</v>
      </c>
      <c r="AB1155">
        <f t="shared" ref="AB1155:AB1218" si="36">(($R1155-$Q1155)/$Q1155)*100</f>
        <v>3.999718331906283E-2</v>
      </c>
    </row>
    <row r="1156" spans="1:28">
      <c r="A1156" t="s">
        <v>39</v>
      </c>
      <c r="B1156" s="2">
        <v>46023</v>
      </c>
      <c r="C1156" s="2">
        <v>45992</v>
      </c>
      <c r="D1156" s="2">
        <v>46100</v>
      </c>
      <c r="E1156">
        <v>22974485</v>
      </c>
      <c r="F1156">
        <v>22897076</v>
      </c>
      <c r="G1156">
        <v>-77409</v>
      </c>
      <c r="H1156">
        <v>86.69</v>
      </c>
      <c r="I1156">
        <v>200000</v>
      </c>
      <c r="J1156" t="s">
        <v>51</v>
      </c>
      <c r="K1156">
        <v>0.19</v>
      </c>
      <c r="L1156">
        <v>0.2</v>
      </c>
      <c r="M1156">
        <v>6015362</v>
      </c>
      <c r="N1156">
        <v>5983137</v>
      </c>
      <c r="O1156">
        <v>0</v>
      </c>
      <c r="P1156">
        <v>0</v>
      </c>
      <c r="Q1156">
        <v>4629637</v>
      </c>
      <c r="R1156">
        <v>4598511</v>
      </c>
      <c r="S1156">
        <v>1421646</v>
      </c>
      <c r="T1156">
        <v>1428921</v>
      </c>
      <c r="U1156">
        <v>0</v>
      </c>
      <c r="V1156">
        <v>0</v>
      </c>
      <c r="W1156">
        <v>0</v>
      </c>
      <c r="X1156">
        <v>0</v>
      </c>
      <c r="Y1156">
        <v>10907840</v>
      </c>
      <c r="Z1156">
        <v>10886507</v>
      </c>
      <c r="AA1156">
        <f t="shared" ref="AA1156:AA1219" si="37">$R1156-$Q1156</f>
        <v>-31126</v>
      </c>
      <c r="AB1156">
        <f t="shared" si="36"/>
        <v>-0.67232052966571676</v>
      </c>
    </row>
    <row r="1157" spans="1:28">
      <c r="A1157" t="s">
        <v>40</v>
      </c>
      <c r="B1157" s="2">
        <v>46023</v>
      </c>
      <c r="C1157" s="2">
        <v>45992</v>
      </c>
      <c r="D1157" s="2">
        <v>46100</v>
      </c>
      <c r="E1157">
        <v>84198372</v>
      </c>
      <c r="F1157">
        <v>84871492</v>
      </c>
      <c r="G1157">
        <v>673120</v>
      </c>
      <c r="H1157">
        <v>87.41</v>
      </c>
      <c r="I1157">
        <v>1520000</v>
      </c>
      <c r="J1157" t="s">
        <v>51</v>
      </c>
      <c r="K1157">
        <v>1.52</v>
      </c>
      <c r="L1157">
        <v>1.52</v>
      </c>
      <c r="M1157">
        <v>17958418</v>
      </c>
      <c r="N1157">
        <v>18082305</v>
      </c>
      <c r="O1157">
        <v>0</v>
      </c>
      <c r="P1157">
        <v>0</v>
      </c>
      <c r="Q1157">
        <v>12743628</v>
      </c>
      <c r="R1157">
        <v>12656416</v>
      </c>
      <c r="S1157">
        <v>5118695</v>
      </c>
      <c r="T1157">
        <v>5131745</v>
      </c>
      <c r="U1157">
        <v>0</v>
      </c>
      <c r="V1157">
        <v>0</v>
      </c>
      <c r="W1157">
        <v>0</v>
      </c>
      <c r="X1157">
        <v>0</v>
      </c>
      <c r="Y1157">
        <v>48377631</v>
      </c>
      <c r="Z1157">
        <v>49001026</v>
      </c>
      <c r="AA1157">
        <f t="shared" si="37"/>
        <v>-87212</v>
      </c>
      <c r="AB1157">
        <f t="shared" si="36"/>
        <v>-0.68435770410121821</v>
      </c>
    </row>
    <row r="1158" spans="1:28">
      <c r="A1158" t="s">
        <v>41</v>
      </c>
      <c r="B1158" s="2">
        <v>46023</v>
      </c>
      <c r="C1158" s="2">
        <v>45992</v>
      </c>
      <c r="D1158" s="2">
        <v>46100</v>
      </c>
      <c r="E1158">
        <v>100095912</v>
      </c>
      <c r="F1158">
        <v>101052234</v>
      </c>
      <c r="G1158">
        <v>956322</v>
      </c>
      <c r="H1158">
        <v>94.7</v>
      </c>
      <c r="I1158">
        <v>1070000</v>
      </c>
      <c r="J1158" t="s">
        <v>51</v>
      </c>
      <c r="K1158">
        <v>1.0900000000000001</v>
      </c>
      <c r="L1158">
        <v>1.07</v>
      </c>
      <c r="M1158">
        <v>30470911</v>
      </c>
      <c r="N1158">
        <v>31068546</v>
      </c>
      <c r="O1158">
        <v>0</v>
      </c>
      <c r="P1158">
        <v>0</v>
      </c>
      <c r="Q1158">
        <v>20561987</v>
      </c>
      <c r="R1158">
        <v>20548489</v>
      </c>
      <c r="S1158">
        <v>5309578</v>
      </c>
      <c r="T1158">
        <v>5321107</v>
      </c>
      <c r="U1158">
        <v>0</v>
      </c>
      <c r="V1158">
        <v>0</v>
      </c>
      <c r="W1158">
        <v>0</v>
      </c>
      <c r="X1158">
        <v>0</v>
      </c>
      <c r="Y1158">
        <v>43753436</v>
      </c>
      <c r="Z1158">
        <v>44114092</v>
      </c>
      <c r="AA1158">
        <f t="shared" si="37"/>
        <v>-13498</v>
      </c>
      <c r="AB1158">
        <f t="shared" si="36"/>
        <v>-6.5645406740117096E-2</v>
      </c>
    </row>
    <row r="1159" spans="1:28">
      <c r="A1159" t="s">
        <v>42</v>
      </c>
      <c r="B1159" s="2">
        <v>46023</v>
      </c>
      <c r="C1159" s="2">
        <v>45992</v>
      </c>
      <c r="D1159" s="2">
        <v>46100</v>
      </c>
      <c r="E1159">
        <v>39690215</v>
      </c>
      <c r="F1159">
        <v>39746661</v>
      </c>
      <c r="G1159">
        <v>56446</v>
      </c>
      <c r="H1159">
        <v>71.45</v>
      </c>
      <c r="I1159">
        <v>270000</v>
      </c>
      <c r="J1159" t="s">
        <v>51</v>
      </c>
      <c r="K1159">
        <v>0.27</v>
      </c>
      <c r="L1159">
        <v>0.27</v>
      </c>
      <c r="M1159">
        <v>15515681</v>
      </c>
      <c r="N1159">
        <v>15559577</v>
      </c>
      <c r="O1159">
        <v>54</v>
      </c>
      <c r="P1159">
        <v>48</v>
      </c>
      <c r="Q1159">
        <v>10772169</v>
      </c>
      <c r="R1159">
        <v>10806516</v>
      </c>
      <c r="S1159">
        <v>0</v>
      </c>
      <c r="T1159">
        <v>0</v>
      </c>
      <c r="U1159">
        <v>0</v>
      </c>
      <c r="V1159">
        <v>0</v>
      </c>
      <c r="W1159">
        <v>96241</v>
      </c>
      <c r="X1159">
        <v>90957</v>
      </c>
      <c r="Y1159">
        <v>13306070</v>
      </c>
      <c r="Z1159">
        <v>13289563</v>
      </c>
      <c r="AA1159">
        <f t="shared" si="37"/>
        <v>34347</v>
      </c>
      <c r="AB1159">
        <f t="shared" si="36"/>
        <v>0.3188494350580649</v>
      </c>
    </row>
    <row r="1160" spans="1:28">
      <c r="A1160" t="s">
        <v>43</v>
      </c>
      <c r="B1160" s="2">
        <v>46023</v>
      </c>
      <c r="C1160" s="2">
        <v>45992</v>
      </c>
      <c r="D1160" s="2">
        <v>46100</v>
      </c>
      <c r="E1160">
        <v>13020074</v>
      </c>
      <c r="F1160">
        <v>13031363</v>
      </c>
      <c r="G1160">
        <v>11289</v>
      </c>
      <c r="H1160">
        <v>95.84</v>
      </c>
      <c r="I1160">
        <v>30000</v>
      </c>
      <c r="J1160" t="s">
        <v>51</v>
      </c>
      <c r="K1160">
        <v>0.03</v>
      </c>
      <c r="L1160">
        <v>0.03</v>
      </c>
      <c r="M1160">
        <v>6614464</v>
      </c>
      <c r="N1160">
        <v>6624053</v>
      </c>
      <c r="O1160">
        <v>0</v>
      </c>
      <c r="P1160">
        <v>0</v>
      </c>
      <c r="Q1160">
        <v>604704</v>
      </c>
      <c r="R1160">
        <v>599975</v>
      </c>
      <c r="S1160">
        <v>1293623</v>
      </c>
      <c r="T1160">
        <v>1305572</v>
      </c>
      <c r="U1160">
        <v>0</v>
      </c>
      <c r="V1160">
        <v>0</v>
      </c>
      <c r="W1160">
        <v>0</v>
      </c>
      <c r="X1160">
        <v>0</v>
      </c>
      <c r="Y1160">
        <v>4507283</v>
      </c>
      <c r="Z1160">
        <v>4501763</v>
      </c>
      <c r="AA1160">
        <f t="shared" si="37"/>
        <v>-4729</v>
      </c>
      <c r="AB1160">
        <f t="shared" si="36"/>
        <v>-0.78203550828173785</v>
      </c>
    </row>
    <row r="1161" spans="1:28">
      <c r="A1161" t="s">
        <v>44</v>
      </c>
      <c r="B1161" s="2">
        <v>46023</v>
      </c>
      <c r="C1161" s="2">
        <v>45992</v>
      </c>
      <c r="D1161" s="2">
        <v>46100</v>
      </c>
      <c r="E1161">
        <v>37262298</v>
      </c>
      <c r="F1161">
        <v>37518331</v>
      </c>
      <c r="G1161">
        <v>256033</v>
      </c>
      <c r="H1161">
        <v>87.81</v>
      </c>
      <c r="I1161">
        <v>250000</v>
      </c>
      <c r="J1161" t="s">
        <v>51</v>
      </c>
      <c r="K1161">
        <v>0.25</v>
      </c>
      <c r="L1161">
        <v>0.25</v>
      </c>
      <c r="M1161">
        <v>12999819</v>
      </c>
      <c r="N1161">
        <v>13107129</v>
      </c>
      <c r="O1161">
        <v>0</v>
      </c>
      <c r="P1161">
        <v>0</v>
      </c>
      <c r="Q1161">
        <v>1489987</v>
      </c>
      <c r="R1161">
        <v>1486579</v>
      </c>
      <c r="S1161">
        <v>5518354</v>
      </c>
      <c r="T1161">
        <v>5513183</v>
      </c>
      <c r="U1161">
        <v>0</v>
      </c>
      <c r="V1161">
        <v>0</v>
      </c>
      <c r="W1161">
        <v>0</v>
      </c>
      <c r="X1161">
        <v>0</v>
      </c>
      <c r="Y1161">
        <v>17254138</v>
      </c>
      <c r="Z1161">
        <v>17411440</v>
      </c>
      <c r="AA1161">
        <f t="shared" si="37"/>
        <v>-3408</v>
      </c>
      <c r="AB1161">
        <f t="shared" si="36"/>
        <v>-0.2287268278179608</v>
      </c>
    </row>
    <row r="1162" spans="1:28">
      <c r="A1162" t="s">
        <v>45</v>
      </c>
      <c r="B1162" s="2">
        <v>46023</v>
      </c>
      <c r="C1162" s="2">
        <v>45992</v>
      </c>
      <c r="D1162" s="2">
        <v>46100</v>
      </c>
      <c r="E1162">
        <v>35108678</v>
      </c>
      <c r="F1162">
        <v>35215014</v>
      </c>
      <c r="G1162">
        <v>106336</v>
      </c>
      <c r="H1162">
        <v>93.35</v>
      </c>
      <c r="I1162">
        <v>390000</v>
      </c>
      <c r="J1162" t="s">
        <v>51</v>
      </c>
      <c r="K1162">
        <v>0.4</v>
      </c>
      <c r="L1162">
        <v>0.39</v>
      </c>
      <c r="M1162">
        <v>13861756</v>
      </c>
      <c r="N1162">
        <v>13941637</v>
      </c>
      <c r="O1162">
        <v>5</v>
      </c>
      <c r="P1162">
        <v>5</v>
      </c>
      <c r="Q1162">
        <v>5632742</v>
      </c>
      <c r="R1162">
        <v>5597660</v>
      </c>
      <c r="S1162">
        <v>4091509</v>
      </c>
      <c r="T1162">
        <v>4112988</v>
      </c>
      <c r="U1162">
        <v>0</v>
      </c>
      <c r="V1162">
        <v>0</v>
      </c>
      <c r="W1162">
        <v>0</v>
      </c>
      <c r="X1162">
        <v>0</v>
      </c>
      <c r="Y1162">
        <v>11522666</v>
      </c>
      <c r="Z1162">
        <v>11562724</v>
      </c>
      <c r="AA1162">
        <f t="shared" si="37"/>
        <v>-35082</v>
      </c>
      <c r="AB1162">
        <f t="shared" si="36"/>
        <v>-0.62282277441430833</v>
      </c>
    </row>
    <row r="1163" spans="1:28">
      <c r="A1163" t="s">
        <v>46</v>
      </c>
      <c r="B1163" s="2">
        <v>46023</v>
      </c>
      <c r="C1163" s="2">
        <v>45992</v>
      </c>
      <c r="D1163" s="2">
        <v>46100</v>
      </c>
      <c r="E1163">
        <v>66524531</v>
      </c>
      <c r="F1163">
        <v>66934130</v>
      </c>
      <c r="G1163">
        <v>409599</v>
      </c>
      <c r="H1163">
        <v>92.94</v>
      </c>
      <c r="I1163">
        <v>900000</v>
      </c>
      <c r="J1163" t="s">
        <v>51</v>
      </c>
      <c r="K1163">
        <v>0.93</v>
      </c>
      <c r="L1163">
        <v>0.9</v>
      </c>
      <c r="M1163">
        <v>25146992</v>
      </c>
      <c r="N1163">
        <v>25442403</v>
      </c>
      <c r="O1163">
        <v>46</v>
      </c>
      <c r="P1163">
        <v>39</v>
      </c>
      <c r="Q1163">
        <v>8430864</v>
      </c>
      <c r="R1163">
        <v>8411534</v>
      </c>
      <c r="S1163">
        <v>5726617</v>
      </c>
      <c r="T1163">
        <v>5743571</v>
      </c>
      <c r="U1163">
        <v>0</v>
      </c>
      <c r="V1163">
        <v>0</v>
      </c>
      <c r="W1163">
        <v>0</v>
      </c>
      <c r="X1163">
        <v>0</v>
      </c>
      <c r="Y1163">
        <v>27220012</v>
      </c>
      <c r="Z1163">
        <v>27336583</v>
      </c>
      <c r="AA1163">
        <f t="shared" si="37"/>
        <v>-19330</v>
      </c>
      <c r="AB1163">
        <f t="shared" si="36"/>
        <v>-0.22927661981025907</v>
      </c>
    </row>
    <row r="1164" spans="1:28">
      <c r="A1164" t="s">
        <v>47</v>
      </c>
      <c r="B1164" s="2">
        <v>46023</v>
      </c>
      <c r="C1164" s="2">
        <v>45992</v>
      </c>
      <c r="D1164" s="2">
        <v>46100</v>
      </c>
      <c r="E1164">
        <v>79552137</v>
      </c>
      <c r="F1164">
        <v>79835979</v>
      </c>
      <c r="G1164">
        <v>283842</v>
      </c>
      <c r="H1164">
        <v>79.73</v>
      </c>
      <c r="I1164">
        <v>590000</v>
      </c>
      <c r="J1164" t="s">
        <v>51</v>
      </c>
      <c r="K1164">
        <v>0.65</v>
      </c>
      <c r="L1164">
        <v>0.59</v>
      </c>
      <c r="M1164">
        <v>32537397</v>
      </c>
      <c r="N1164">
        <v>32743838</v>
      </c>
      <c r="O1164">
        <v>0</v>
      </c>
      <c r="P1164">
        <v>0</v>
      </c>
      <c r="Q1164">
        <v>14252019</v>
      </c>
      <c r="R1164">
        <v>14263749</v>
      </c>
      <c r="S1164">
        <v>8015763</v>
      </c>
      <c r="T1164">
        <v>7971060</v>
      </c>
      <c r="U1164">
        <v>0</v>
      </c>
      <c r="V1164">
        <v>0</v>
      </c>
      <c r="W1164">
        <v>0</v>
      </c>
      <c r="X1164">
        <v>0</v>
      </c>
      <c r="Y1164">
        <v>24746958</v>
      </c>
      <c r="Z1164">
        <v>24857332</v>
      </c>
      <c r="AA1164">
        <f t="shared" si="37"/>
        <v>11730</v>
      </c>
      <c r="AB1164">
        <f t="shared" si="36"/>
        <v>8.2304128278246041E-2</v>
      </c>
    </row>
    <row r="1165" spans="1:28">
      <c r="A1165" t="s">
        <v>48</v>
      </c>
      <c r="B1165" s="2">
        <v>46023</v>
      </c>
      <c r="C1165" s="2">
        <v>45992</v>
      </c>
      <c r="D1165" s="2">
        <v>46100</v>
      </c>
      <c r="E1165">
        <v>107976101</v>
      </c>
      <c r="F1165">
        <v>108626216</v>
      </c>
      <c r="G1165">
        <v>650115</v>
      </c>
      <c r="H1165">
        <v>87.05</v>
      </c>
      <c r="I1165">
        <v>2330000</v>
      </c>
      <c r="J1165" t="s">
        <v>51</v>
      </c>
      <c r="K1165">
        <v>2.2999999999999998</v>
      </c>
      <c r="L1165">
        <v>2.33</v>
      </c>
      <c r="M1165">
        <v>39706971</v>
      </c>
      <c r="N1165">
        <v>40222140</v>
      </c>
      <c r="O1165">
        <v>0</v>
      </c>
      <c r="P1165">
        <v>0</v>
      </c>
      <c r="Q1165">
        <v>15697417</v>
      </c>
      <c r="R1165">
        <v>15708507</v>
      </c>
      <c r="S1165">
        <v>8434932</v>
      </c>
      <c r="T1165">
        <v>8482147</v>
      </c>
      <c r="U1165">
        <v>0</v>
      </c>
      <c r="V1165">
        <v>0</v>
      </c>
      <c r="W1165">
        <v>0</v>
      </c>
      <c r="X1165">
        <v>0</v>
      </c>
      <c r="Y1165">
        <v>44136781</v>
      </c>
      <c r="Z1165">
        <v>44213422</v>
      </c>
      <c r="AA1165">
        <f t="shared" si="37"/>
        <v>11090</v>
      </c>
      <c r="AB1165">
        <f t="shared" si="36"/>
        <v>7.0648565939224264E-2</v>
      </c>
    </row>
    <row r="1166" spans="1:28">
      <c r="A1166" t="s">
        <v>49</v>
      </c>
      <c r="B1166" s="2">
        <v>46023</v>
      </c>
      <c r="C1166" s="2">
        <v>45992</v>
      </c>
      <c r="D1166" s="2">
        <v>46100</v>
      </c>
      <c r="E1166">
        <v>64732296</v>
      </c>
      <c r="F1166">
        <v>65013121</v>
      </c>
      <c r="G1166">
        <v>280825</v>
      </c>
      <c r="H1166">
        <v>92.62</v>
      </c>
      <c r="I1166">
        <v>1590000</v>
      </c>
      <c r="J1166" t="s">
        <v>51</v>
      </c>
      <c r="K1166">
        <v>1.56</v>
      </c>
      <c r="L1166">
        <v>1.59</v>
      </c>
      <c r="M1166">
        <v>21435119</v>
      </c>
      <c r="N1166">
        <v>21815161</v>
      </c>
      <c r="O1166">
        <v>0</v>
      </c>
      <c r="P1166">
        <v>0</v>
      </c>
      <c r="Q1166">
        <v>12794824</v>
      </c>
      <c r="R1166">
        <v>12584348</v>
      </c>
      <c r="S1166">
        <v>5210728</v>
      </c>
      <c r="T1166">
        <v>5230318</v>
      </c>
      <c r="U1166">
        <v>0</v>
      </c>
      <c r="V1166">
        <v>0</v>
      </c>
      <c r="W1166">
        <v>0</v>
      </c>
      <c r="X1166">
        <v>0</v>
      </c>
      <c r="Y1166">
        <v>25291625</v>
      </c>
      <c r="Z1166">
        <v>25383294</v>
      </c>
      <c r="AA1166">
        <f t="shared" si="37"/>
        <v>-210476</v>
      </c>
      <c r="AB1166">
        <f t="shared" si="36"/>
        <v>-1.6450089504943559</v>
      </c>
    </row>
    <row r="1167" spans="1:28">
      <c r="A1167" t="s">
        <v>50</v>
      </c>
      <c r="B1167" s="2">
        <v>46023</v>
      </c>
      <c r="C1167" s="2">
        <v>45992</v>
      </c>
      <c r="D1167" s="2">
        <v>46100</v>
      </c>
      <c r="E1167">
        <v>57479924</v>
      </c>
      <c r="F1167">
        <v>57491454</v>
      </c>
      <c r="G1167">
        <v>11530</v>
      </c>
      <c r="H1167">
        <v>91.53</v>
      </c>
      <c r="I1167">
        <v>1320000</v>
      </c>
      <c r="J1167" t="s">
        <v>51</v>
      </c>
      <c r="K1167">
        <v>1.29</v>
      </c>
      <c r="L1167">
        <v>1.32</v>
      </c>
      <c r="M1167">
        <v>18697178</v>
      </c>
      <c r="N1167">
        <v>18753034</v>
      </c>
      <c r="O1167">
        <v>4</v>
      </c>
      <c r="P1167">
        <v>4</v>
      </c>
      <c r="Q1167">
        <v>10549487</v>
      </c>
      <c r="R1167">
        <v>10399121</v>
      </c>
      <c r="S1167">
        <v>2641993</v>
      </c>
      <c r="T1167">
        <v>2652592</v>
      </c>
      <c r="U1167">
        <v>0</v>
      </c>
      <c r="V1167">
        <v>0</v>
      </c>
      <c r="W1167">
        <v>0</v>
      </c>
      <c r="X1167">
        <v>0</v>
      </c>
      <c r="Y1167">
        <v>25591262</v>
      </c>
      <c r="Z1167">
        <v>25686703</v>
      </c>
      <c r="AA1167">
        <f t="shared" si="37"/>
        <v>-150366</v>
      </c>
      <c r="AB1167">
        <f t="shared" si="36"/>
        <v>-1.4253394501552541</v>
      </c>
    </row>
    <row r="1168" spans="1:28">
      <c r="A1168" t="s">
        <v>28</v>
      </c>
      <c r="B1168" s="2">
        <v>46054</v>
      </c>
      <c r="C1168" s="2">
        <v>46023</v>
      </c>
      <c r="D1168" s="2">
        <v>46113</v>
      </c>
      <c r="E1168">
        <v>86372752</v>
      </c>
      <c r="F1168">
        <v>86746934</v>
      </c>
      <c r="G1168">
        <v>374182</v>
      </c>
      <c r="H1168">
        <v>94.92</v>
      </c>
      <c r="I1168">
        <v>600000</v>
      </c>
      <c r="J1168" t="s">
        <v>51</v>
      </c>
      <c r="K1168">
        <v>0.68</v>
      </c>
      <c r="L1168">
        <v>0.6</v>
      </c>
      <c r="M1168">
        <v>37999714</v>
      </c>
      <c r="N1168">
        <v>38327283</v>
      </c>
      <c r="O1168">
        <v>0</v>
      </c>
      <c r="P1168">
        <v>0</v>
      </c>
      <c r="Q1168">
        <v>8853196</v>
      </c>
      <c r="R1168">
        <v>8854876</v>
      </c>
      <c r="S1168">
        <v>7489371</v>
      </c>
      <c r="T1168">
        <v>7489622</v>
      </c>
      <c r="U1168">
        <v>0</v>
      </c>
      <c r="V1168">
        <v>0</v>
      </c>
      <c r="W1168">
        <v>0</v>
      </c>
      <c r="X1168">
        <v>0</v>
      </c>
      <c r="Y1168">
        <v>32030471</v>
      </c>
      <c r="Z1168">
        <v>32075153</v>
      </c>
      <c r="AA1168">
        <f t="shared" si="37"/>
        <v>1680</v>
      </c>
      <c r="AB1168">
        <f t="shared" si="36"/>
        <v>1.8976197974155323E-2</v>
      </c>
    </row>
    <row r="1169" spans="1:28">
      <c r="A1169" t="s">
        <v>30</v>
      </c>
      <c r="B1169" s="2">
        <v>46054</v>
      </c>
      <c r="C1169" s="2">
        <v>46023</v>
      </c>
      <c r="D1169" s="2">
        <v>46113</v>
      </c>
      <c r="E1169">
        <v>28358944</v>
      </c>
      <c r="F1169">
        <v>28527857</v>
      </c>
      <c r="G1169">
        <v>168913</v>
      </c>
      <c r="H1169">
        <v>90.03</v>
      </c>
      <c r="I1169">
        <v>110000</v>
      </c>
      <c r="J1169" t="s">
        <v>51</v>
      </c>
      <c r="K1169">
        <v>0.12</v>
      </c>
      <c r="L1169">
        <v>0.11</v>
      </c>
      <c r="M1169">
        <v>14078593</v>
      </c>
      <c r="N1169">
        <v>14212088</v>
      </c>
      <c r="O1169">
        <v>0</v>
      </c>
      <c r="P1169">
        <v>0</v>
      </c>
      <c r="Q1169">
        <v>1454471</v>
      </c>
      <c r="R1169">
        <v>1466072</v>
      </c>
      <c r="S1169">
        <v>2950889</v>
      </c>
      <c r="T1169">
        <v>2939314</v>
      </c>
      <c r="U1169">
        <v>0</v>
      </c>
      <c r="V1169">
        <v>0</v>
      </c>
      <c r="W1169">
        <v>0</v>
      </c>
      <c r="X1169">
        <v>0</v>
      </c>
      <c r="Y1169">
        <v>9874991</v>
      </c>
      <c r="Z1169">
        <v>9910383</v>
      </c>
      <c r="AA1169">
        <f t="shared" si="37"/>
        <v>11601</v>
      </c>
      <c r="AB1169">
        <f t="shared" si="36"/>
        <v>0.79760957764025542</v>
      </c>
    </row>
    <row r="1170" spans="1:28">
      <c r="A1170" t="s">
        <v>31</v>
      </c>
      <c r="B1170" s="2">
        <v>46054</v>
      </c>
      <c r="C1170" s="2">
        <v>46023</v>
      </c>
      <c r="D1170" s="2">
        <v>46113</v>
      </c>
      <c r="E1170">
        <v>105598825</v>
      </c>
      <c r="F1170">
        <v>106771394</v>
      </c>
      <c r="G1170">
        <v>1172569</v>
      </c>
      <c r="H1170">
        <v>87.37</v>
      </c>
      <c r="I1170">
        <v>1320000</v>
      </c>
      <c r="J1170" t="s">
        <v>51</v>
      </c>
      <c r="K1170">
        <v>1.44</v>
      </c>
      <c r="L1170">
        <v>1.32</v>
      </c>
      <c r="M1170">
        <v>48205639</v>
      </c>
      <c r="N1170">
        <v>49237048</v>
      </c>
      <c r="O1170">
        <v>0</v>
      </c>
      <c r="P1170">
        <v>0</v>
      </c>
      <c r="Q1170">
        <v>7360582</v>
      </c>
      <c r="R1170">
        <v>7359813</v>
      </c>
      <c r="S1170">
        <v>5645447</v>
      </c>
      <c r="T1170">
        <v>5636574</v>
      </c>
      <c r="U1170">
        <v>0</v>
      </c>
      <c r="V1170">
        <v>0</v>
      </c>
      <c r="W1170">
        <v>0</v>
      </c>
      <c r="X1170">
        <v>0</v>
      </c>
      <c r="Y1170">
        <v>44387157</v>
      </c>
      <c r="Z1170">
        <v>44537959</v>
      </c>
      <c r="AA1170">
        <f t="shared" si="37"/>
        <v>-769</v>
      </c>
      <c r="AB1170">
        <f t="shared" si="36"/>
        <v>-1.0447543414365875E-2</v>
      </c>
    </row>
    <row r="1171" spans="1:28">
      <c r="A1171" t="s">
        <v>32</v>
      </c>
      <c r="B1171" s="2">
        <v>46054</v>
      </c>
      <c r="C1171" s="2">
        <v>46023</v>
      </c>
      <c r="D1171" s="2">
        <v>46113</v>
      </c>
      <c r="E1171">
        <v>75032596</v>
      </c>
      <c r="F1171">
        <v>75149991</v>
      </c>
      <c r="G1171">
        <v>117395</v>
      </c>
      <c r="H1171">
        <v>51.82</v>
      </c>
      <c r="I1171">
        <v>650000</v>
      </c>
      <c r="J1171" t="s">
        <v>51</v>
      </c>
      <c r="K1171">
        <v>0.74</v>
      </c>
      <c r="L1171">
        <v>0.65</v>
      </c>
      <c r="M1171">
        <v>37956746</v>
      </c>
      <c r="N1171">
        <v>38222715</v>
      </c>
      <c r="O1171">
        <v>2</v>
      </c>
      <c r="P1171">
        <v>2</v>
      </c>
      <c r="Q1171">
        <v>16511485</v>
      </c>
      <c r="R1171">
        <v>16326460</v>
      </c>
      <c r="S1171">
        <v>0</v>
      </c>
      <c r="T1171">
        <v>0</v>
      </c>
      <c r="U1171">
        <v>0</v>
      </c>
      <c r="V1171">
        <v>0</v>
      </c>
      <c r="W1171">
        <v>135776</v>
      </c>
      <c r="X1171">
        <v>134606</v>
      </c>
      <c r="Y1171">
        <v>20428587</v>
      </c>
      <c r="Z1171">
        <v>20466208</v>
      </c>
      <c r="AA1171">
        <f t="shared" si="37"/>
        <v>-185025</v>
      </c>
      <c r="AB1171">
        <f t="shared" si="36"/>
        <v>-1.120583642234481</v>
      </c>
    </row>
    <row r="1172" spans="1:28">
      <c r="A1172" t="s">
        <v>33</v>
      </c>
      <c r="B1172" s="2">
        <v>46054</v>
      </c>
      <c r="C1172" s="2">
        <v>46023</v>
      </c>
      <c r="D1172" s="2">
        <v>46113</v>
      </c>
      <c r="E1172">
        <v>70308056</v>
      </c>
      <c r="F1172">
        <v>70839760</v>
      </c>
      <c r="G1172">
        <v>531704</v>
      </c>
      <c r="H1172">
        <v>91.31</v>
      </c>
      <c r="I1172">
        <v>960000</v>
      </c>
      <c r="J1172" t="s">
        <v>51</v>
      </c>
      <c r="K1172">
        <v>1.0900000000000001</v>
      </c>
      <c r="L1172">
        <v>0.96</v>
      </c>
      <c r="M1172">
        <v>15339085</v>
      </c>
      <c r="N1172">
        <v>15503511</v>
      </c>
      <c r="O1172">
        <v>1</v>
      </c>
      <c r="P1172">
        <v>1</v>
      </c>
      <c r="Q1172">
        <v>19382645</v>
      </c>
      <c r="R1172">
        <v>19457305</v>
      </c>
      <c r="S1172">
        <v>3298684</v>
      </c>
      <c r="T1172">
        <v>3293233</v>
      </c>
      <c r="U1172">
        <v>0</v>
      </c>
      <c r="V1172">
        <v>0</v>
      </c>
      <c r="W1172">
        <v>0</v>
      </c>
      <c r="X1172">
        <v>0</v>
      </c>
      <c r="Y1172">
        <v>32287641</v>
      </c>
      <c r="Z1172">
        <v>32585710</v>
      </c>
      <c r="AA1172">
        <f t="shared" si="37"/>
        <v>74660</v>
      </c>
      <c r="AB1172">
        <f t="shared" si="36"/>
        <v>0.38518994698607956</v>
      </c>
    </row>
    <row r="1173" spans="1:28">
      <c r="A1173" t="s">
        <v>34</v>
      </c>
      <c r="B1173" s="2">
        <v>46054</v>
      </c>
      <c r="C1173" s="2">
        <v>46023</v>
      </c>
      <c r="D1173" s="2">
        <v>46113</v>
      </c>
      <c r="E1173">
        <v>26580197</v>
      </c>
      <c r="F1173">
        <v>26645575</v>
      </c>
      <c r="G1173">
        <v>65378</v>
      </c>
      <c r="H1173">
        <v>92.31</v>
      </c>
      <c r="I1173">
        <v>430000</v>
      </c>
      <c r="J1173" t="s">
        <v>51</v>
      </c>
      <c r="K1173">
        <v>0.46</v>
      </c>
      <c r="L1173">
        <v>0.43</v>
      </c>
      <c r="M1173">
        <v>7771855</v>
      </c>
      <c r="N1173">
        <v>7813312</v>
      </c>
      <c r="O1173">
        <v>0</v>
      </c>
      <c r="P1173">
        <v>0</v>
      </c>
      <c r="Q1173">
        <v>6195167</v>
      </c>
      <c r="R1173">
        <v>6207455</v>
      </c>
      <c r="S1173">
        <v>4426395</v>
      </c>
      <c r="T1173">
        <v>4415488</v>
      </c>
      <c r="U1173">
        <v>0</v>
      </c>
      <c r="V1173">
        <v>0</v>
      </c>
      <c r="W1173">
        <v>0</v>
      </c>
      <c r="X1173">
        <v>0</v>
      </c>
      <c r="Y1173">
        <v>8186780</v>
      </c>
      <c r="Z1173">
        <v>8209320</v>
      </c>
      <c r="AA1173">
        <f t="shared" si="37"/>
        <v>12288</v>
      </c>
      <c r="AB1173">
        <f t="shared" si="36"/>
        <v>0.19834816398008318</v>
      </c>
    </row>
    <row r="1174" spans="1:28">
      <c r="A1174" t="s">
        <v>35</v>
      </c>
      <c r="B1174" s="2">
        <v>46054</v>
      </c>
      <c r="C1174" s="2">
        <v>46023</v>
      </c>
      <c r="D1174" s="2">
        <v>46113</v>
      </c>
      <c r="E1174">
        <v>9276656</v>
      </c>
      <c r="F1174">
        <v>9378258</v>
      </c>
      <c r="G1174">
        <v>101602</v>
      </c>
      <c r="H1174">
        <v>94.59</v>
      </c>
      <c r="I1174">
        <v>60000</v>
      </c>
      <c r="J1174" t="s">
        <v>51</v>
      </c>
      <c r="K1174">
        <v>0.06</v>
      </c>
      <c r="L1174">
        <v>0.06</v>
      </c>
      <c r="M1174">
        <v>3632072</v>
      </c>
      <c r="N1174">
        <v>3632654</v>
      </c>
      <c r="O1174">
        <v>0</v>
      </c>
      <c r="P1174">
        <v>0</v>
      </c>
      <c r="Q1174">
        <v>386636</v>
      </c>
      <c r="R1174">
        <v>389532</v>
      </c>
      <c r="S1174">
        <v>1779691</v>
      </c>
      <c r="T1174">
        <v>1778243</v>
      </c>
      <c r="U1174">
        <v>0</v>
      </c>
      <c r="V1174">
        <v>0</v>
      </c>
      <c r="W1174">
        <v>0</v>
      </c>
      <c r="X1174">
        <v>0</v>
      </c>
      <c r="Y1174">
        <v>3478257</v>
      </c>
      <c r="Z1174">
        <v>3577829</v>
      </c>
      <c r="AA1174">
        <f t="shared" si="37"/>
        <v>2896</v>
      </c>
      <c r="AB1174">
        <f t="shared" si="36"/>
        <v>0.7490249226662804</v>
      </c>
    </row>
    <row r="1175" spans="1:28">
      <c r="A1175" t="s">
        <v>36</v>
      </c>
      <c r="B1175" s="2">
        <v>46054</v>
      </c>
      <c r="C1175" s="2">
        <v>46023</v>
      </c>
      <c r="D1175" s="2">
        <v>46113</v>
      </c>
      <c r="E1175">
        <v>13111824</v>
      </c>
      <c r="F1175">
        <v>13231560</v>
      </c>
      <c r="G1175">
        <v>119736</v>
      </c>
      <c r="H1175">
        <v>78.05</v>
      </c>
      <c r="I1175">
        <v>70000</v>
      </c>
      <c r="J1175" t="s">
        <v>51</v>
      </c>
      <c r="K1175">
        <v>7.0000000000000007E-2</v>
      </c>
      <c r="L1175">
        <v>7.0000000000000007E-2</v>
      </c>
      <c r="M1175">
        <v>6590080</v>
      </c>
      <c r="N1175">
        <v>6620418</v>
      </c>
      <c r="O1175">
        <v>0</v>
      </c>
      <c r="P1175">
        <v>0</v>
      </c>
      <c r="Q1175">
        <v>263476</v>
      </c>
      <c r="R1175">
        <v>268634</v>
      </c>
      <c r="S1175">
        <v>856454</v>
      </c>
      <c r="T1175">
        <v>855876</v>
      </c>
      <c r="U1175">
        <v>0</v>
      </c>
      <c r="V1175">
        <v>0</v>
      </c>
      <c r="W1175">
        <v>0</v>
      </c>
      <c r="X1175">
        <v>0</v>
      </c>
      <c r="Y1175">
        <v>5401814</v>
      </c>
      <c r="Z1175">
        <v>5486632</v>
      </c>
      <c r="AA1175">
        <f t="shared" si="37"/>
        <v>5158</v>
      </c>
      <c r="AB1175">
        <f t="shared" si="36"/>
        <v>1.9576735641956005</v>
      </c>
    </row>
    <row r="1176" spans="1:28">
      <c r="A1176" t="s">
        <v>37</v>
      </c>
      <c r="B1176" s="2">
        <v>46054</v>
      </c>
      <c r="C1176" s="2">
        <v>46023</v>
      </c>
      <c r="D1176" s="2">
        <v>46113</v>
      </c>
      <c r="E1176">
        <v>81700909</v>
      </c>
      <c r="F1176">
        <v>82110016</v>
      </c>
      <c r="G1176">
        <v>409107</v>
      </c>
      <c r="H1176">
        <v>69.16</v>
      </c>
      <c r="I1176">
        <v>550000</v>
      </c>
      <c r="J1176" t="s">
        <v>51</v>
      </c>
      <c r="K1176">
        <v>0.62</v>
      </c>
      <c r="L1176">
        <v>0.55000000000000004</v>
      </c>
      <c r="M1176">
        <v>43330426</v>
      </c>
      <c r="N1176">
        <v>43661606</v>
      </c>
      <c r="O1176">
        <v>156</v>
      </c>
      <c r="P1176">
        <v>135</v>
      </c>
      <c r="Q1176">
        <v>7547414</v>
      </c>
      <c r="R1176">
        <v>7516679</v>
      </c>
      <c r="S1176">
        <v>4713937</v>
      </c>
      <c r="T1176">
        <v>4712976</v>
      </c>
      <c r="U1176">
        <v>0</v>
      </c>
      <c r="V1176">
        <v>0</v>
      </c>
      <c r="W1176">
        <v>0</v>
      </c>
      <c r="X1176">
        <v>0</v>
      </c>
      <c r="Y1176">
        <v>26108976</v>
      </c>
      <c r="Z1176">
        <v>26218620</v>
      </c>
      <c r="AA1176">
        <f t="shared" si="37"/>
        <v>-30735</v>
      </c>
      <c r="AB1176">
        <f t="shared" si="36"/>
        <v>-0.4072255742165462</v>
      </c>
    </row>
    <row r="1177" spans="1:28">
      <c r="A1177" t="s">
        <v>38</v>
      </c>
      <c r="B1177" s="2">
        <v>46054</v>
      </c>
      <c r="C1177" s="2">
        <v>46023</v>
      </c>
      <c r="D1177" s="2">
        <v>46113</v>
      </c>
      <c r="E1177">
        <v>42320169</v>
      </c>
      <c r="F1177">
        <v>42364828</v>
      </c>
      <c r="G1177">
        <v>44659</v>
      </c>
      <c r="H1177">
        <v>94.08</v>
      </c>
      <c r="I1177">
        <v>210000</v>
      </c>
      <c r="J1177" t="s">
        <v>51</v>
      </c>
      <c r="K1177">
        <v>0.25</v>
      </c>
      <c r="L1177">
        <v>0.21</v>
      </c>
      <c r="M1177">
        <v>9543880</v>
      </c>
      <c r="N1177">
        <v>9570297</v>
      </c>
      <c r="O1177">
        <v>4</v>
      </c>
      <c r="P1177">
        <v>3</v>
      </c>
      <c r="Q1177">
        <v>12743492</v>
      </c>
      <c r="R1177">
        <v>12755200</v>
      </c>
      <c r="S1177">
        <v>8974130</v>
      </c>
      <c r="T1177">
        <v>8968497</v>
      </c>
      <c r="U1177">
        <v>0</v>
      </c>
      <c r="V1177">
        <v>0</v>
      </c>
      <c r="W1177">
        <v>0</v>
      </c>
      <c r="X1177">
        <v>0</v>
      </c>
      <c r="Y1177">
        <v>11058663</v>
      </c>
      <c r="Z1177">
        <v>11070831</v>
      </c>
      <c r="AA1177">
        <f t="shared" si="37"/>
        <v>11708</v>
      </c>
      <c r="AB1177">
        <f t="shared" si="36"/>
        <v>9.1874346529193088E-2</v>
      </c>
    </row>
    <row r="1178" spans="1:28">
      <c r="A1178" t="s">
        <v>39</v>
      </c>
      <c r="B1178" s="2">
        <v>46054</v>
      </c>
      <c r="C1178" s="2">
        <v>46023</v>
      </c>
      <c r="D1178" s="2">
        <v>46113</v>
      </c>
      <c r="E1178">
        <v>22897076</v>
      </c>
      <c r="F1178">
        <v>22896424</v>
      </c>
      <c r="G1178">
        <v>-652</v>
      </c>
      <c r="H1178">
        <v>86.55</v>
      </c>
      <c r="I1178">
        <v>180000</v>
      </c>
      <c r="J1178" t="s">
        <v>51</v>
      </c>
      <c r="K1178">
        <v>0.2</v>
      </c>
      <c r="L1178">
        <v>0.18</v>
      </c>
      <c r="M1178">
        <v>5983137</v>
      </c>
      <c r="N1178">
        <v>5983605</v>
      </c>
      <c r="O1178">
        <v>0</v>
      </c>
      <c r="P1178">
        <v>0</v>
      </c>
      <c r="Q1178">
        <v>4598511</v>
      </c>
      <c r="R1178">
        <v>4588903</v>
      </c>
      <c r="S1178">
        <v>1428921</v>
      </c>
      <c r="T1178">
        <v>1426529</v>
      </c>
      <c r="U1178">
        <v>0</v>
      </c>
      <c r="V1178">
        <v>0</v>
      </c>
      <c r="W1178">
        <v>0</v>
      </c>
      <c r="X1178">
        <v>0</v>
      </c>
      <c r="Y1178">
        <v>10886507</v>
      </c>
      <c r="Z1178">
        <v>10897387</v>
      </c>
      <c r="AA1178">
        <f t="shared" si="37"/>
        <v>-9608</v>
      </c>
      <c r="AB1178">
        <f t="shared" si="36"/>
        <v>-0.20893719727972815</v>
      </c>
    </row>
    <row r="1179" spans="1:28">
      <c r="A1179" t="s">
        <v>40</v>
      </c>
      <c r="B1179" s="2">
        <v>46054</v>
      </c>
      <c r="C1179" s="2">
        <v>46023</v>
      </c>
      <c r="D1179" s="2">
        <v>46113</v>
      </c>
      <c r="E1179">
        <v>84871492</v>
      </c>
      <c r="F1179">
        <v>85400908</v>
      </c>
      <c r="G1179">
        <v>529416</v>
      </c>
      <c r="H1179">
        <v>87.45</v>
      </c>
      <c r="I1179">
        <v>1410000</v>
      </c>
      <c r="J1179" t="s">
        <v>51</v>
      </c>
      <c r="K1179">
        <v>1.52</v>
      </c>
      <c r="L1179">
        <v>1.41</v>
      </c>
      <c r="M1179">
        <v>18082305</v>
      </c>
      <c r="N1179">
        <v>18200513</v>
      </c>
      <c r="O1179">
        <v>0</v>
      </c>
      <c r="P1179">
        <v>0</v>
      </c>
      <c r="Q1179">
        <v>12656416</v>
      </c>
      <c r="R1179">
        <v>12661300</v>
      </c>
      <c r="S1179">
        <v>5131745</v>
      </c>
      <c r="T1179">
        <v>5136362</v>
      </c>
      <c r="U1179">
        <v>0</v>
      </c>
      <c r="V1179">
        <v>0</v>
      </c>
      <c r="W1179">
        <v>0</v>
      </c>
      <c r="X1179">
        <v>0</v>
      </c>
      <c r="Y1179">
        <v>49001026</v>
      </c>
      <c r="Z1179">
        <v>49402733</v>
      </c>
      <c r="AA1179">
        <f t="shared" si="37"/>
        <v>4884</v>
      </c>
      <c r="AB1179">
        <f t="shared" si="36"/>
        <v>3.8589123492780257E-2</v>
      </c>
    </row>
    <row r="1180" spans="1:28">
      <c r="A1180" t="s">
        <v>41</v>
      </c>
      <c r="B1180" s="2">
        <v>46054</v>
      </c>
      <c r="C1180" s="2">
        <v>46023</v>
      </c>
      <c r="D1180" s="2">
        <v>46113</v>
      </c>
      <c r="E1180">
        <v>101052234</v>
      </c>
      <c r="F1180">
        <v>101239977</v>
      </c>
      <c r="G1180">
        <v>187743</v>
      </c>
      <c r="H1180">
        <v>93.89</v>
      </c>
      <c r="I1180">
        <v>970000</v>
      </c>
      <c r="J1180" t="s">
        <v>51</v>
      </c>
      <c r="K1180">
        <v>1.07</v>
      </c>
      <c r="L1180">
        <v>0.97</v>
      </c>
      <c r="M1180">
        <v>31068546</v>
      </c>
      <c r="N1180">
        <v>31586780</v>
      </c>
      <c r="O1180">
        <v>0</v>
      </c>
      <c r="P1180">
        <v>0</v>
      </c>
      <c r="Q1180">
        <v>20548489</v>
      </c>
      <c r="R1180">
        <v>20617223</v>
      </c>
      <c r="S1180">
        <v>5321107</v>
      </c>
      <c r="T1180">
        <v>5315131</v>
      </c>
      <c r="U1180">
        <v>0</v>
      </c>
      <c r="V1180">
        <v>0</v>
      </c>
      <c r="W1180">
        <v>0</v>
      </c>
      <c r="X1180">
        <v>0</v>
      </c>
      <c r="Y1180">
        <v>44114092</v>
      </c>
      <c r="Z1180">
        <v>43720843</v>
      </c>
      <c r="AA1180">
        <f t="shared" si="37"/>
        <v>68734</v>
      </c>
      <c r="AB1180">
        <f t="shared" si="36"/>
        <v>0.33449661432526739</v>
      </c>
    </row>
    <row r="1181" spans="1:28">
      <c r="A1181" t="s">
        <v>42</v>
      </c>
      <c r="B1181" s="2">
        <v>46054</v>
      </c>
      <c r="C1181" s="2">
        <v>46023</v>
      </c>
      <c r="D1181" s="2">
        <v>46113</v>
      </c>
      <c r="E1181">
        <v>39746661</v>
      </c>
      <c r="F1181">
        <v>39991659</v>
      </c>
      <c r="G1181">
        <v>244998</v>
      </c>
      <c r="H1181">
        <v>70.7</v>
      </c>
      <c r="I1181">
        <v>250000</v>
      </c>
      <c r="J1181" t="s">
        <v>51</v>
      </c>
      <c r="K1181">
        <v>0.27</v>
      </c>
      <c r="L1181">
        <v>0.25</v>
      </c>
      <c r="M1181">
        <v>15559577</v>
      </c>
      <c r="N1181">
        <v>15797686</v>
      </c>
      <c r="O1181">
        <v>48</v>
      </c>
      <c r="P1181">
        <v>51</v>
      </c>
      <c r="Q1181">
        <v>10806516</v>
      </c>
      <c r="R1181">
        <v>10828191</v>
      </c>
      <c r="S1181">
        <v>0</v>
      </c>
      <c r="T1181">
        <v>0</v>
      </c>
      <c r="U1181">
        <v>0</v>
      </c>
      <c r="V1181">
        <v>0</v>
      </c>
      <c r="W1181">
        <v>90957</v>
      </c>
      <c r="X1181">
        <v>89426</v>
      </c>
      <c r="Y1181">
        <v>13289563</v>
      </c>
      <c r="Z1181">
        <v>13276305</v>
      </c>
      <c r="AA1181">
        <f t="shared" si="37"/>
        <v>21675</v>
      </c>
      <c r="AB1181">
        <f t="shared" si="36"/>
        <v>0.20057343180725409</v>
      </c>
    </row>
    <row r="1182" spans="1:28">
      <c r="A1182" t="s">
        <v>43</v>
      </c>
      <c r="B1182" s="2">
        <v>46054</v>
      </c>
      <c r="C1182" s="2">
        <v>46023</v>
      </c>
      <c r="D1182" s="2">
        <v>46113</v>
      </c>
      <c r="E1182">
        <v>13031363</v>
      </c>
      <c r="F1182">
        <v>13132502</v>
      </c>
      <c r="G1182">
        <v>101139</v>
      </c>
      <c r="H1182">
        <v>96.5</v>
      </c>
      <c r="I1182">
        <v>30000</v>
      </c>
      <c r="J1182" t="s">
        <v>51</v>
      </c>
      <c r="K1182">
        <v>0.03</v>
      </c>
      <c r="L1182">
        <v>0.03</v>
      </c>
      <c r="M1182">
        <v>6624053</v>
      </c>
      <c r="N1182">
        <v>6636085</v>
      </c>
      <c r="O1182">
        <v>0</v>
      </c>
      <c r="P1182">
        <v>0</v>
      </c>
      <c r="Q1182">
        <v>599975</v>
      </c>
      <c r="R1182">
        <v>597462</v>
      </c>
      <c r="S1182">
        <v>1305572</v>
      </c>
      <c r="T1182">
        <v>1305447</v>
      </c>
      <c r="U1182">
        <v>0</v>
      </c>
      <c r="V1182">
        <v>0</v>
      </c>
      <c r="W1182">
        <v>0</v>
      </c>
      <c r="X1182">
        <v>0</v>
      </c>
      <c r="Y1182">
        <v>4501763</v>
      </c>
      <c r="Z1182">
        <v>4593508</v>
      </c>
      <c r="AA1182">
        <f t="shared" si="37"/>
        <v>-2513</v>
      </c>
      <c r="AB1182">
        <f t="shared" si="36"/>
        <v>-0.41885078544939375</v>
      </c>
    </row>
    <row r="1183" spans="1:28">
      <c r="A1183" t="s">
        <v>44</v>
      </c>
      <c r="B1183" s="2">
        <v>46054</v>
      </c>
      <c r="C1183" s="2">
        <v>46023</v>
      </c>
      <c r="D1183" s="2">
        <v>46113</v>
      </c>
      <c r="E1183">
        <v>37518331</v>
      </c>
      <c r="F1183">
        <v>37750868</v>
      </c>
      <c r="G1183">
        <v>232537</v>
      </c>
      <c r="H1183">
        <v>87.7</v>
      </c>
      <c r="I1183">
        <v>220000</v>
      </c>
      <c r="J1183" t="s">
        <v>51</v>
      </c>
      <c r="K1183">
        <v>0.25</v>
      </c>
      <c r="L1183">
        <v>0.22</v>
      </c>
      <c r="M1183">
        <v>13107129</v>
      </c>
      <c r="N1183">
        <v>13153321</v>
      </c>
      <c r="O1183">
        <v>0</v>
      </c>
      <c r="P1183">
        <v>0</v>
      </c>
      <c r="Q1183">
        <v>1486579</v>
      </c>
      <c r="R1183">
        <v>1503646</v>
      </c>
      <c r="S1183">
        <v>5513183</v>
      </c>
      <c r="T1183">
        <v>5507651</v>
      </c>
      <c r="U1183">
        <v>0</v>
      </c>
      <c r="V1183">
        <v>0</v>
      </c>
      <c r="W1183">
        <v>0</v>
      </c>
      <c r="X1183">
        <v>0</v>
      </c>
      <c r="Y1183">
        <v>17411440</v>
      </c>
      <c r="Z1183">
        <v>17586250</v>
      </c>
      <c r="AA1183">
        <f t="shared" si="37"/>
        <v>17067</v>
      </c>
      <c r="AB1183">
        <f t="shared" si="36"/>
        <v>1.1480721845256794</v>
      </c>
    </row>
    <row r="1184" spans="1:28">
      <c r="A1184" t="s">
        <v>45</v>
      </c>
      <c r="B1184" s="2">
        <v>46054</v>
      </c>
      <c r="C1184" s="2">
        <v>46023</v>
      </c>
      <c r="D1184" s="2">
        <v>46113</v>
      </c>
      <c r="E1184">
        <v>35215014</v>
      </c>
      <c r="F1184">
        <v>35428431</v>
      </c>
      <c r="G1184">
        <v>213417</v>
      </c>
      <c r="H1184">
        <v>93.29</v>
      </c>
      <c r="I1184">
        <v>380000</v>
      </c>
      <c r="J1184" t="s">
        <v>51</v>
      </c>
      <c r="K1184">
        <v>0.39</v>
      </c>
      <c r="L1184">
        <v>0.38</v>
      </c>
      <c r="M1184">
        <v>13941637</v>
      </c>
      <c r="N1184">
        <v>14059983</v>
      </c>
      <c r="O1184">
        <v>5</v>
      </c>
      <c r="P1184">
        <v>5</v>
      </c>
      <c r="Q1184">
        <v>5597660</v>
      </c>
      <c r="R1184">
        <v>5616780</v>
      </c>
      <c r="S1184">
        <v>4112988</v>
      </c>
      <c r="T1184">
        <v>4103312</v>
      </c>
      <c r="U1184">
        <v>0</v>
      </c>
      <c r="V1184">
        <v>0</v>
      </c>
      <c r="W1184">
        <v>0</v>
      </c>
      <c r="X1184">
        <v>0</v>
      </c>
      <c r="Y1184">
        <v>11562724</v>
      </c>
      <c r="Z1184">
        <v>11648351</v>
      </c>
      <c r="AA1184">
        <f t="shared" si="37"/>
        <v>19120</v>
      </c>
      <c r="AB1184">
        <f t="shared" si="36"/>
        <v>0.3415712994358357</v>
      </c>
    </row>
    <row r="1185" spans="1:28">
      <c r="A1185" t="s">
        <v>46</v>
      </c>
      <c r="B1185" s="2">
        <v>46054</v>
      </c>
      <c r="C1185" s="2">
        <v>46023</v>
      </c>
      <c r="D1185" s="2">
        <v>46113</v>
      </c>
      <c r="E1185">
        <v>66934130</v>
      </c>
      <c r="F1185">
        <v>67378858</v>
      </c>
      <c r="G1185">
        <v>444728</v>
      </c>
      <c r="H1185">
        <v>92.03</v>
      </c>
      <c r="I1185">
        <v>790000</v>
      </c>
      <c r="J1185" t="s">
        <v>51</v>
      </c>
      <c r="K1185">
        <v>0.9</v>
      </c>
      <c r="L1185">
        <v>0.79</v>
      </c>
      <c r="M1185">
        <v>25442403</v>
      </c>
      <c r="N1185">
        <v>25683135</v>
      </c>
      <c r="O1185">
        <v>39</v>
      </c>
      <c r="P1185">
        <v>36</v>
      </c>
      <c r="Q1185">
        <v>8411534</v>
      </c>
      <c r="R1185">
        <v>8418253</v>
      </c>
      <c r="S1185">
        <v>5743571</v>
      </c>
      <c r="T1185">
        <v>5733509</v>
      </c>
      <c r="U1185">
        <v>0</v>
      </c>
      <c r="V1185">
        <v>0</v>
      </c>
      <c r="W1185">
        <v>0</v>
      </c>
      <c r="X1185">
        <v>0</v>
      </c>
      <c r="Y1185">
        <v>27336583</v>
      </c>
      <c r="Z1185">
        <v>27543925</v>
      </c>
      <c r="AA1185">
        <f t="shared" si="37"/>
        <v>6719</v>
      </c>
      <c r="AB1185">
        <f t="shared" si="36"/>
        <v>7.9878414567426101E-2</v>
      </c>
    </row>
    <row r="1186" spans="1:28">
      <c r="A1186" t="s">
        <v>47</v>
      </c>
      <c r="B1186" s="2">
        <v>46054</v>
      </c>
      <c r="C1186" s="2">
        <v>46023</v>
      </c>
      <c r="D1186" s="2">
        <v>46113</v>
      </c>
      <c r="E1186">
        <v>79835979</v>
      </c>
      <c r="F1186">
        <v>80163289</v>
      </c>
      <c r="G1186">
        <v>327310</v>
      </c>
      <c r="H1186">
        <v>79.8</v>
      </c>
      <c r="I1186">
        <v>560000</v>
      </c>
      <c r="J1186" t="s">
        <v>51</v>
      </c>
      <c r="K1186">
        <v>0.59</v>
      </c>
      <c r="L1186">
        <v>0.56000000000000005</v>
      </c>
      <c r="M1186">
        <v>32743838</v>
      </c>
      <c r="N1186">
        <v>32957309</v>
      </c>
      <c r="O1186">
        <v>0</v>
      </c>
      <c r="P1186">
        <v>0</v>
      </c>
      <c r="Q1186">
        <v>14263749</v>
      </c>
      <c r="R1186">
        <v>14276884</v>
      </c>
      <c r="S1186">
        <v>7971060</v>
      </c>
      <c r="T1186">
        <v>7990412</v>
      </c>
      <c r="U1186">
        <v>0</v>
      </c>
      <c r="V1186">
        <v>0</v>
      </c>
      <c r="W1186">
        <v>0</v>
      </c>
      <c r="X1186">
        <v>0</v>
      </c>
      <c r="Y1186">
        <v>24857332</v>
      </c>
      <c r="Z1186">
        <v>24938684</v>
      </c>
      <c r="AA1186">
        <f t="shared" si="37"/>
        <v>13135</v>
      </c>
      <c r="AB1186">
        <f t="shared" si="36"/>
        <v>9.2086589577536723E-2</v>
      </c>
    </row>
    <row r="1187" spans="1:28">
      <c r="A1187" t="s">
        <v>48</v>
      </c>
      <c r="B1187" s="2">
        <v>46054</v>
      </c>
      <c r="C1187" s="2">
        <v>46023</v>
      </c>
      <c r="D1187" s="2">
        <v>46113</v>
      </c>
      <c r="E1187">
        <v>108626216</v>
      </c>
      <c r="F1187">
        <v>108937185</v>
      </c>
      <c r="G1187">
        <v>310969</v>
      </c>
      <c r="H1187">
        <v>87.58</v>
      </c>
      <c r="I1187">
        <v>2090000</v>
      </c>
      <c r="J1187" t="s">
        <v>51</v>
      </c>
      <c r="K1187">
        <v>2.33</v>
      </c>
      <c r="L1187">
        <v>2.09</v>
      </c>
      <c r="M1187">
        <v>40222140</v>
      </c>
      <c r="N1187">
        <v>40720415</v>
      </c>
      <c r="O1187">
        <v>0</v>
      </c>
      <c r="P1187">
        <v>0</v>
      </c>
      <c r="Q1187">
        <v>15708507</v>
      </c>
      <c r="R1187">
        <v>15833950</v>
      </c>
      <c r="S1187">
        <v>8482147</v>
      </c>
      <c r="T1187">
        <v>8474962</v>
      </c>
      <c r="U1187">
        <v>0</v>
      </c>
      <c r="V1187">
        <v>0</v>
      </c>
      <c r="W1187">
        <v>0</v>
      </c>
      <c r="X1187">
        <v>0</v>
      </c>
      <c r="Y1187">
        <v>44213422</v>
      </c>
      <c r="Z1187">
        <v>43907858</v>
      </c>
      <c r="AA1187">
        <f t="shared" si="37"/>
        <v>125443</v>
      </c>
      <c r="AB1187">
        <f t="shared" si="36"/>
        <v>0.79856729859814168</v>
      </c>
    </row>
    <row r="1188" spans="1:28">
      <c r="A1188" t="s">
        <v>49</v>
      </c>
      <c r="B1188" s="2">
        <v>46054</v>
      </c>
      <c r="C1188" s="2">
        <v>46023</v>
      </c>
      <c r="D1188" s="2">
        <v>46113</v>
      </c>
      <c r="E1188">
        <v>65013121</v>
      </c>
      <c r="F1188">
        <v>65528302</v>
      </c>
      <c r="G1188">
        <v>515181</v>
      </c>
      <c r="H1188">
        <v>92.7</v>
      </c>
      <c r="I1188">
        <v>1430000</v>
      </c>
      <c r="J1188" t="s">
        <v>51</v>
      </c>
      <c r="K1188">
        <v>1.59</v>
      </c>
      <c r="L1188">
        <v>1.43</v>
      </c>
      <c r="M1188">
        <v>21815161</v>
      </c>
      <c r="N1188">
        <v>22227092</v>
      </c>
      <c r="O1188">
        <v>0</v>
      </c>
      <c r="P1188">
        <v>0</v>
      </c>
      <c r="Q1188">
        <v>12584348</v>
      </c>
      <c r="R1188">
        <v>12500495</v>
      </c>
      <c r="S1188">
        <v>5230318</v>
      </c>
      <c r="T1188">
        <v>5195981</v>
      </c>
      <c r="U1188">
        <v>0</v>
      </c>
      <c r="V1188">
        <v>0</v>
      </c>
      <c r="W1188">
        <v>0</v>
      </c>
      <c r="X1188">
        <v>0</v>
      </c>
      <c r="Y1188">
        <v>25383294</v>
      </c>
      <c r="Z1188">
        <v>25604734</v>
      </c>
      <c r="AA1188">
        <f t="shared" si="37"/>
        <v>-83853</v>
      </c>
      <c r="AB1188">
        <f t="shared" si="36"/>
        <v>-0.66632772710989874</v>
      </c>
    </row>
    <row r="1189" spans="1:28">
      <c r="A1189" t="s">
        <v>50</v>
      </c>
      <c r="B1189" s="2">
        <v>46054</v>
      </c>
      <c r="C1189" s="2">
        <v>46023</v>
      </c>
      <c r="D1189" s="2">
        <v>46113</v>
      </c>
      <c r="E1189">
        <v>57491454</v>
      </c>
      <c r="F1189">
        <v>57678828</v>
      </c>
      <c r="G1189">
        <v>187374</v>
      </c>
      <c r="H1189">
        <v>91.16</v>
      </c>
      <c r="I1189">
        <v>1190000</v>
      </c>
      <c r="J1189" t="s">
        <v>51</v>
      </c>
      <c r="K1189">
        <v>1.32</v>
      </c>
      <c r="L1189">
        <v>1.19</v>
      </c>
      <c r="M1189">
        <v>18753034</v>
      </c>
      <c r="N1189">
        <v>18842022</v>
      </c>
      <c r="O1189">
        <v>4</v>
      </c>
      <c r="P1189">
        <v>4</v>
      </c>
      <c r="Q1189">
        <v>10399121</v>
      </c>
      <c r="R1189">
        <v>10336783</v>
      </c>
      <c r="S1189">
        <v>2652592</v>
      </c>
      <c r="T1189">
        <v>2647259</v>
      </c>
      <c r="U1189">
        <v>0</v>
      </c>
      <c r="V1189">
        <v>0</v>
      </c>
      <c r="W1189">
        <v>0</v>
      </c>
      <c r="X1189">
        <v>0</v>
      </c>
      <c r="Y1189">
        <v>25686703</v>
      </c>
      <c r="Z1189">
        <v>25852760</v>
      </c>
      <c r="AA1189">
        <f t="shared" si="37"/>
        <v>-62338</v>
      </c>
      <c r="AB1189">
        <f t="shared" si="36"/>
        <v>-0.59945451158804675</v>
      </c>
    </row>
    <row r="1190" spans="1:28">
      <c r="A1190" t="s">
        <v>28</v>
      </c>
      <c r="B1190" s="2">
        <v>46082</v>
      </c>
      <c r="C1190" s="2">
        <v>46054</v>
      </c>
      <c r="D1190" s="2">
        <v>46134</v>
      </c>
      <c r="E1190">
        <v>86746934</v>
      </c>
      <c r="F1190">
        <v>87196806</v>
      </c>
      <c r="G1190">
        <v>449872</v>
      </c>
      <c r="H1190">
        <v>95.17</v>
      </c>
      <c r="I1190">
        <v>630000</v>
      </c>
      <c r="J1190" t="s">
        <v>51</v>
      </c>
      <c r="K1190">
        <v>0.6</v>
      </c>
      <c r="L1190">
        <v>0.63</v>
      </c>
      <c r="M1190">
        <v>38327283</v>
      </c>
      <c r="N1190">
        <v>38642976</v>
      </c>
      <c r="O1190">
        <v>0</v>
      </c>
      <c r="P1190">
        <v>0</v>
      </c>
      <c r="Q1190">
        <v>8854876</v>
      </c>
      <c r="R1190">
        <v>8839537</v>
      </c>
      <c r="S1190">
        <v>7489622</v>
      </c>
      <c r="T1190">
        <v>7489676</v>
      </c>
      <c r="U1190">
        <v>0</v>
      </c>
      <c r="V1190">
        <v>0</v>
      </c>
      <c r="W1190">
        <v>0</v>
      </c>
      <c r="X1190">
        <v>0</v>
      </c>
      <c r="Y1190">
        <v>32075153</v>
      </c>
      <c r="Z1190">
        <v>32224617</v>
      </c>
      <c r="AA1190">
        <f t="shared" si="37"/>
        <v>-15339</v>
      </c>
      <c r="AB1190">
        <f t="shared" si="36"/>
        <v>-0.17322659289638839</v>
      </c>
    </row>
    <row r="1191" spans="1:28">
      <c r="A1191" t="s">
        <v>30</v>
      </c>
      <c r="B1191" s="2">
        <v>46082</v>
      </c>
      <c r="C1191" s="2">
        <v>46054</v>
      </c>
      <c r="D1191" s="2">
        <v>46134</v>
      </c>
      <c r="E1191">
        <v>28527857</v>
      </c>
      <c r="F1191">
        <v>29210536</v>
      </c>
      <c r="G1191">
        <v>682679</v>
      </c>
      <c r="H1191">
        <v>90.34</v>
      </c>
      <c r="I1191">
        <v>130000</v>
      </c>
      <c r="J1191" t="s">
        <v>51</v>
      </c>
      <c r="K1191">
        <v>0.11</v>
      </c>
      <c r="L1191">
        <v>0.13</v>
      </c>
      <c r="M1191">
        <v>14212088</v>
      </c>
      <c r="N1191">
        <v>14786568</v>
      </c>
      <c r="O1191">
        <v>0</v>
      </c>
      <c r="P1191">
        <v>0</v>
      </c>
      <c r="Q1191">
        <v>1466072</v>
      </c>
      <c r="R1191">
        <v>1480568</v>
      </c>
      <c r="S1191">
        <v>2939314</v>
      </c>
      <c r="T1191">
        <v>2928181</v>
      </c>
      <c r="U1191">
        <v>0</v>
      </c>
      <c r="V1191">
        <v>0</v>
      </c>
      <c r="W1191">
        <v>0</v>
      </c>
      <c r="X1191">
        <v>0</v>
      </c>
      <c r="Y1191">
        <v>9910383</v>
      </c>
      <c r="Z1191">
        <v>10015219</v>
      </c>
      <c r="AA1191">
        <f t="shared" si="37"/>
        <v>14496</v>
      </c>
      <c r="AB1191">
        <f t="shared" si="36"/>
        <v>0.98876453543891429</v>
      </c>
    </row>
    <row r="1192" spans="1:28">
      <c r="A1192" t="s">
        <v>31</v>
      </c>
      <c r="B1192" s="2">
        <v>46082</v>
      </c>
      <c r="C1192" s="2">
        <v>46054</v>
      </c>
      <c r="D1192" s="2">
        <v>46134</v>
      </c>
      <c r="E1192">
        <v>106771394</v>
      </c>
      <c r="F1192">
        <v>107528882</v>
      </c>
      <c r="G1192">
        <v>757488</v>
      </c>
      <c r="H1192">
        <v>87.61</v>
      </c>
      <c r="I1192">
        <v>1320000</v>
      </c>
      <c r="J1192" t="s">
        <v>51</v>
      </c>
      <c r="K1192">
        <v>1.32</v>
      </c>
      <c r="L1192">
        <v>1.32</v>
      </c>
      <c r="M1192">
        <v>49237048</v>
      </c>
      <c r="N1192">
        <v>49486508</v>
      </c>
      <c r="O1192">
        <v>0</v>
      </c>
      <c r="P1192">
        <v>0</v>
      </c>
      <c r="Q1192">
        <v>7359813</v>
      </c>
      <c r="R1192">
        <v>7417265</v>
      </c>
      <c r="S1192">
        <v>5636574</v>
      </c>
      <c r="T1192">
        <v>5626979</v>
      </c>
      <c r="U1192">
        <v>0</v>
      </c>
      <c r="V1192">
        <v>0</v>
      </c>
      <c r="W1192">
        <v>0</v>
      </c>
      <c r="X1192">
        <v>0</v>
      </c>
      <c r="Y1192">
        <v>44537959</v>
      </c>
      <c r="Z1192">
        <v>44998130</v>
      </c>
      <c r="AA1192">
        <f t="shared" si="37"/>
        <v>57452</v>
      </c>
      <c r="AB1192">
        <f t="shared" si="36"/>
        <v>0.78061765971499553</v>
      </c>
    </row>
    <row r="1193" spans="1:28">
      <c r="A1193" t="s">
        <v>32</v>
      </c>
      <c r="B1193" s="2">
        <v>46082</v>
      </c>
      <c r="C1193" s="2">
        <v>46054</v>
      </c>
      <c r="D1193" s="2">
        <v>46134</v>
      </c>
      <c r="E1193">
        <v>75149991</v>
      </c>
      <c r="F1193">
        <v>75623940</v>
      </c>
      <c r="G1193">
        <v>473949</v>
      </c>
      <c r="H1193">
        <v>52.03</v>
      </c>
      <c r="I1193">
        <v>600000</v>
      </c>
      <c r="J1193" t="s">
        <v>51</v>
      </c>
      <c r="K1193">
        <v>0.65</v>
      </c>
      <c r="L1193">
        <v>0.6</v>
      </c>
      <c r="M1193">
        <v>38222715</v>
      </c>
      <c r="N1193">
        <v>38960542</v>
      </c>
      <c r="O1193">
        <v>2</v>
      </c>
      <c r="P1193">
        <v>2</v>
      </c>
      <c r="Q1193">
        <v>16326460</v>
      </c>
      <c r="R1193">
        <v>16095501</v>
      </c>
      <c r="S1193">
        <v>0</v>
      </c>
      <c r="T1193">
        <v>0</v>
      </c>
      <c r="U1193">
        <v>0</v>
      </c>
      <c r="V1193">
        <v>0</v>
      </c>
      <c r="W1193">
        <v>134606</v>
      </c>
      <c r="X1193">
        <v>133080</v>
      </c>
      <c r="Y1193">
        <v>20466208</v>
      </c>
      <c r="Z1193">
        <v>20434815</v>
      </c>
      <c r="AA1193">
        <f t="shared" si="37"/>
        <v>-230959</v>
      </c>
      <c r="AB1193">
        <f t="shared" si="36"/>
        <v>-1.4146299932747208</v>
      </c>
    </row>
    <row r="1194" spans="1:28">
      <c r="A1194" t="s">
        <v>33</v>
      </c>
      <c r="B1194" s="2">
        <v>46082</v>
      </c>
      <c r="C1194" s="2">
        <v>46054</v>
      </c>
      <c r="D1194" s="2">
        <v>46134</v>
      </c>
      <c r="E1194">
        <v>70839760</v>
      </c>
      <c r="F1194">
        <v>71413833</v>
      </c>
      <c r="G1194">
        <v>574073</v>
      </c>
      <c r="H1194">
        <v>89.85</v>
      </c>
      <c r="I1194">
        <v>930000</v>
      </c>
      <c r="J1194" t="s">
        <v>51</v>
      </c>
      <c r="K1194">
        <v>0.96</v>
      </c>
      <c r="L1194">
        <v>0.93</v>
      </c>
      <c r="M1194">
        <v>15503511</v>
      </c>
      <c r="N1194">
        <v>15664281</v>
      </c>
      <c r="O1194">
        <v>1</v>
      </c>
      <c r="P1194">
        <v>1</v>
      </c>
      <c r="Q1194">
        <v>19457305</v>
      </c>
      <c r="R1194">
        <v>19559053</v>
      </c>
      <c r="S1194">
        <v>3293233</v>
      </c>
      <c r="T1194">
        <v>3290591</v>
      </c>
      <c r="U1194">
        <v>0</v>
      </c>
      <c r="V1194">
        <v>0</v>
      </c>
      <c r="W1194">
        <v>0</v>
      </c>
      <c r="X1194">
        <v>0</v>
      </c>
      <c r="Y1194">
        <v>32585710</v>
      </c>
      <c r="Z1194">
        <v>32899907</v>
      </c>
      <c r="AA1194">
        <f t="shared" si="37"/>
        <v>101748</v>
      </c>
      <c r="AB1194">
        <f t="shared" si="36"/>
        <v>0.5229295629584878</v>
      </c>
    </row>
    <row r="1195" spans="1:28">
      <c r="A1195" t="s">
        <v>34</v>
      </c>
      <c r="B1195" s="2">
        <v>46082</v>
      </c>
      <c r="C1195" s="2">
        <v>46054</v>
      </c>
      <c r="D1195" s="2">
        <v>46134</v>
      </c>
      <c r="E1195">
        <v>26645575</v>
      </c>
      <c r="F1195">
        <v>26815661</v>
      </c>
      <c r="G1195">
        <v>170086</v>
      </c>
      <c r="H1195">
        <v>91.75</v>
      </c>
      <c r="I1195">
        <v>430000</v>
      </c>
      <c r="J1195" t="s">
        <v>51</v>
      </c>
      <c r="K1195">
        <v>0.43</v>
      </c>
      <c r="L1195">
        <v>0.43</v>
      </c>
      <c r="M1195">
        <v>7813312</v>
      </c>
      <c r="N1195">
        <v>7854741</v>
      </c>
      <c r="O1195">
        <v>0</v>
      </c>
      <c r="P1195">
        <v>0</v>
      </c>
      <c r="Q1195">
        <v>6207455</v>
      </c>
      <c r="R1195">
        <v>6231180</v>
      </c>
      <c r="S1195">
        <v>4415488</v>
      </c>
      <c r="T1195">
        <v>4509472</v>
      </c>
      <c r="U1195">
        <v>0</v>
      </c>
      <c r="V1195">
        <v>0</v>
      </c>
      <c r="W1195">
        <v>0</v>
      </c>
      <c r="X1195">
        <v>0</v>
      </c>
      <c r="Y1195">
        <v>8209320</v>
      </c>
      <c r="Z1195">
        <v>8220268</v>
      </c>
      <c r="AA1195">
        <f t="shared" si="37"/>
        <v>23725</v>
      </c>
      <c r="AB1195">
        <f t="shared" si="36"/>
        <v>0.3822017235727041</v>
      </c>
    </row>
    <row r="1196" spans="1:28">
      <c r="A1196" t="s">
        <v>35</v>
      </c>
      <c r="B1196" s="2">
        <v>46082</v>
      </c>
      <c r="C1196" s="2">
        <v>46054</v>
      </c>
      <c r="D1196" s="2">
        <v>46134</v>
      </c>
      <c r="E1196">
        <v>9378258</v>
      </c>
      <c r="F1196">
        <v>9392216</v>
      </c>
      <c r="G1196">
        <v>13958</v>
      </c>
      <c r="H1196">
        <v>97.93</v>
      </c>
      <c r="I1196">
        <v>60000</v>
      </c>
      <c r="J1196" t="s">
        <v>51</v>
      </c>
      <c r="K1196">
        <v>0.06</v>
      </c>
      <c r="L1196">
        <v>0.06</v>
      </c>
      <c r="M1196">
        <v>3632654</v>
      </c>
      <c r="N1196">
        <v>3630477</v>
      </c>
      <c r="O1196">
        <v>0</v>
      </c>
      <c r="P1196">
        <v>0</v>
      </c>
      <c r="Q1196">
        <v>389532</v>
      </c>
      <c r="R1196">
        <v>393644</v>
      </c>
      <c r="S1196">
        <v>1778243</v>
      </c>
      <c r="T1196">
        <v>1777880</v>
      </c>
      <c r="U1196">
        <v>0</v>
      </c>
      <c r="V1196">
        <v>0</v>
      </c>
      <c r="W1196">
        <v>0</v>
      </c>
      <c r="X1196">
        <v>0</v>
      </c>
      <c r="Y1196">
        <v>3577829</v>
      </c>
      <c r="Z1196">
        <v>3590215</v>
      </c>
      <c r="AA1196">
        <f t="shared" si="37"/>
        <v>4112</v>
      </c>
      <c r="AB1196">
        <f t="shared" si="36"/>
        <v>1.0556257252292496</v>
      </c>
    </row>
    <row r="1197" spans="1:28">
      <c r="A1197" t="s">
        <v>36</v>
      </c>
      <c r="B1197" s="2">
        <v>46082</v>
      </c>
      <c r="C1197" s="2">
        <v>46054</v>
      </c>
      <c r="D1197" s="2">
        <v>46134</v>
      </c>
      <c r="E1197">
        <v>13231560</v>
      </c>
      <c r="F1197">
        <v>13448383</v>
      </c>
      <c r="G1197">
        <v>216823</v>
      </c>
      <c r="H1197">
        <v>76.599999999999994</v>
      </c>
      <c r="I1197">
        <v>80000</v>
      </c>
      <c r="J1197" t="s">
        <v>51</v>
      </c>
      <c r="K1197">
        <v>7.0000000000000007E-2</v>
      </c>
      <c r="L1197">
        <v>0.08</v>
      </c>
      <c r="M1197">
        <v>6620418</v>
      </c>
      <c r="N1197">
        <v>6704199</v>
      </c>
      <c r="O1197">
        <v>0</v>
      </c>
      <c r="P1197">
        <v>0</v>
      </c>
      <c r="Q1197">
        <v>268634</v>
      </c>
      <c r="R1197">
        <v>276509</v>
      </c>
      <c r="S1197">
        <v>855876</v>
      </c>
      <c r="T1197">
        <v>851147</v>
      </c>
      <c r="U1197">
        <v>0</v>
      </c>
      <c r="V1197">
        <v>0</v>
      </c>
      <c r="W1197">
        <v>0</v>
      </c>
      <c r="X1197">
        <v>0</v>
      </c>
      <c r="Y1197">
        <v>5486632</v>
      </c>
      <c r="Z1197">
        <v>5616528</v>
      </c>
      <c r="AA1197">
        <f t="shared" si="37"/>
        <v>7875</v>
      </c>
      <c r="AB1197">
        <f t="shared" si="36"/>
        <v>2.9314978744313827</v>
      </c>
    </row>
    <row r="1198" spans="1:28">
      <c r="A1198" t="s">
        <v>37</v>
      </c>
      <c r="B1198" s="2">
        <v>46082</v>
      </c>
      <c r="C1198" s="2">
        <v>46054</v>
      </c>
      <c r="D1198" s="2">
        <v>46134</v>
      </c>
      <c r="E1198">
        <v>82110016</v>
      </c>
      <c r="F1198">
        <v>82747583</v>
      </c>
      <c r="G1198">
        <v>637567</v>
      </c>
      <c r="H1198">
        <v>69.61</v>
      </c>
      <c r="I1198">
        <v>550000</v>
      </c>
      <c r="J1198" t="s">
        <v>51</v>
      </c>
      <c r="K1198">
        <v>0.55000000000000004</v>
      </c>
      <c r="L1198">
        <v>0.55000000000000004</v>
      </c>
      <c r="M1198">
        <v>43661606</v>
      </c>
      <c r="N1198">
        <v>43989594</v>
      </c>
      <c r="O1198">
        <v>135</v>
      </c>
      <c r="P1198">
        <v>102</v>
      </c>
      <c r="Q1198">
        <v>7516679</v>
      </c>
      <c r="R1198">
        <v>7617380</v>
      </c>
      <c r="S1198">
        <v>4712976</v>
      </c>
      <c r="T1198">
        <v>4711589</v>
      </c>
      <c r="U1198">
        <v>0</v>
      </c>
      <c r="V1198">
        <v>0</v>
      </c>
      <c r="W1198">
        <v>0</v>
      </c>
      <c r="X1198">
        <v>0</v>
      </c>
      <c r="Y1198">
        <v>26218620</v>
      </c>
      <c r="Z1198">
        <v>26428918</v>
      </c>
      <c r="AA1198">
        <f t="shared" si="37"/>
        <v>100701</v>
      </c>
      <c r="AB1198">
        <f t="shared" si="36"/>
        <v>1.339700684304864</v>
      </c>
    </row>
    <row r="1199" spans="1:28">
      <c r="A1199" t="s">
        <v>38</v>
      </c>
      <c r="B1199" s="2">
        <v>46082</v>
      </c>
      <c r="C1199" s="2">
        <v>46054</v>
      </c>
      <c r="D1199" s="2">
        <v>46134</v>
      </c>
      <c r="E1199">
        <v>42364828</v>
      </c>
      <c r="F1199">
        <v>42463113</v>
      </c>
      <c r="G1199">
        <v>98285</v>
      </c>
      <c r="H1199">
        <v>92.74</v>
      </c>
      <c r="I1199">
        <v>230000</v>
      </c>
      <c r="J1199" t="s">
        <v>51</v>
      </c>
      <c r="K1199">
        <v>0.21</v>
      </c>
      <c r="L1199">
        <v>0.23</v>
      </c>
      <c r="M1199">
        <v>9570297</v>
      </c>
      <c r="N1199">
        <v>9582288</v>
      </c>
      <c r="O1199">
        <v>3</v>
      </c>
      <c r="P1199">
        <v>3</v>
      </c>
      <c r="Q1199">
        <v>12755200</v>
      </c>
      <c r="R1199">
        <v>12782282</v>
      </c>
      <c r="S1199">
        <v>8968497</v>
      </c>
      <c r="T1199">
        <v>8961293</v>
      </c>
      <c r="U1199">
        <v>0</v>
      </c>
      <c r="V1199">
        <v>0</v>
      </c>
      <c r="W1199">
        <v>0</v>
      </c>
      <c r="X1199">
        <v>0</v>
      </c>
      <c r="Y1199">
        <v>11070831</v>
      </c>
      <c r="Z1199">
        <v>11137247</v>
      </c>
      <c r="AA1199">
        <f t="shared" si="37"/>
        <v>27082</v>
      </c>
      <c r="AB1199">
        <f t="shared" si="36"/>
        <v>0.21232124937280483</v>
      </c>
    </row>
    <row r="1200" spans="1:28">
      <c r="A1200" t="s">
        <v>39</v>
      </c>
      <c r="B1200" s="2">
        <v>46082</v>
      </c>
      <c r="C1200" s="2">
        <v>46054</v>
      </c>
      <c r="D1200" s="2">
        <v>46134</v>
      </c>
      <c r="E1200">
        <v>22896424</v>
      </c>
      <c r="F1200">
        <v>22944299</v>
      </c>
      <c r="G1200">
        <v>47875</v>
      </c>
      <c r="H1200">
        <v>85.47</v>
      </c>
      <c r="I1200">
        <v>170000</v>
      </c>
      <c r="J1200" t="s">
        <v>51</v>
      </c>
      <c r="K1200">
        <v>0.18</v>
      </c>
      <c r="L1200">
        <v>0.17</v>
      </c>
      <c r="M1200">
        <v>5983605</v>
      </c>
      <c r="N1200">
        <v>5994154</v>
      </c>
      <c r="O1200">
        <v>0</v>
      </c>
      <c r="P1200">
        <v>0</v>
      </c>
      <c r="Q1200">
        <v>4588903</v>
      </c>
      <c r="R1200">
        <v>4593122</v>
      </c>
      <c r="S1200">
        <v>1426529</v>
      </c>
      <c r="T1200">
        <v>1423628</v>
      </c>
      <c r="U1200">
        <v>0</v>
      </c>
      <c r="V1200">
        <v>0</v>
      </c>
      <c r="W1200">
        <v>0</v>
      </c>
      <c r="X1200">
        <v>0</v>
      </c>
      <c r="Y1200">
        <v>10897387</v>
      </c>
      <c r="Z1200">
        <v>10933395</v>
      </c>
      <c r="AA1200">
        <f t="shared" si="37"/>
        <v>4219</v>
      </c>
      <c r="AB1200">
        <f t="shared" si="36"/>
        <v>9.1939184593790718E-2</v>
      </c>
    </row>
    <row r="1201" spans="1:28">
      <c r="A1201" t="s">
        <v>40</v>
      </c>
      <c r="B1201" s="2">
        <v>46082</v>
      </c>
      <c r="C1201" s="2">
        <v>46054</v>
      </c>
      <c r="D1201" s="2">
        <v>46134</v>
      </c>
      <c r="E1201">
        <v>85400908</v>
      </c>
      <c r="F1201">
        <v>85646281</v>
      </c>
      <c r="G1201">
        <v>245373</v>
      </c>
      <c r="H1201">
        <v>88.1</v>
      </c>
      <c r="I1201">
        <v>1400000</v>
      </c>
      <c r="J1201" t="s">
        <v>51</v>
      </c>
      <c r="K1201">
        <v>1.41</v>
      </c>
      <c r="L1201">
        <v>1.4</v>
      </c>
      <c r="M1201">
        <v>18200513</v>
      </c>
      <c r="N1201">
        <v>18298313</v>
      </c>
      <c r="O1201">
        <v>0</v>
      </c>
      <c r="P1201">
        <v>0</v>
      </c>
      <c r="Q1201">
        <v>12661300</v>
      </c>
      <c r="R1201">
        <v>12609315</v>
      </c>
      <c r="S1201">
        <v>5136362</v>
      </c>
      <c r="T1201">
        <v>5132531</v>
      </c>
      <c r="U1201">
        <v>0</v>
      </c>
      <c r="V1201">
        <v>0</v>
      </c>
      <c r="W1201">
        <v>0</v>
      </c>
      <c r="X1201">
        <v>0</v>
      </c>
      <c r="Y1201">
        <v>49402733</v>
      </c>
      <c r="Z1201">
        <v>49606122</v>
      </c>
      <c r="AA1201">
        <f t="shared" si="37"/>
        <v>-51985</v>
      </c>
      <c r="AB1201">
        <f t="shared" si="36"/>
        <v>-0.41058185178457191</v>
      </c>
    </row>
    <row r="1202" spans="1:28">
      <c r="A1202" t="s">
        <v>41</v>
      </c>
      <c r="B1202" s="2">
        <v>46082</v>
      </c>
      <c r="C1202" s="2">
        <v>46054</v>
      </c>
      <c r="D1202" s="2">
        <v>46134</v>
      </c>
      <c r="E1202">
        <v>101239977</v>
      </c>
      <c r="F1202">
        <v>102167582</v>
      </c>
      <c r="G1202">
        <v>927605</v>
      </c>
      <c r="H1202">
        <v>92.99</v>
      </c>
      <c r="I1202">
        <v>920000</v>
      </c>
      <c r="J1202" t="s">
        <v>51</v>
      </c>
      <c r="K1202">
        <v>0.97</v>
      </c>
      <c r="L1202">
        <v>0.92</v>
      </c>
      <c r="M1202">
        <v>31586780</v>
      </c>
      <c r="N1202">
        <v>32250561</v>
      </c>
      <c r="O1202">
        <v>0</v>
      </c>
      <c r="P1202">
        <v>0</v>
      </c>
      <c r="Q1202">
        <v>20617223</v>
      </c>
      <c r="R1202">
        <v>20636495</v>
      </c>
      <c r="S1202">
        <v>5315131</v>
      </c>
      <c r="T1202">
        <v>5338848</v>
      </c>
      <c r="U1202">
        <v>0</v>
      </c>
      <c r="V1202">
        <v>0</v>
      </c>
      <c r="W1202">
        <v>0</v>
      </c>
      <c r="X1202">
        <v>0</v>
      </c>
      <c r="Y1202">
        <v>43720843</v>
      </c>
      <c r="Z1202">
        <v>43941678</v>
      </c>
      <c r="AA1202">
        <f t="shared" si="37"/>
        <v>19272</v>
      </c>
      <c r="AB1202">
        <f t="shared" si="36"/>
        <v>9.3475246399575732E-2</v>
      </c>
    </row>
    <row r="1203" spans="1:28">
      <c r="A1203" t="s">
        <v>42</v>
      </c>
      <c r="B1203" s="2">
        <v>46082</v>
      </c>
      <c r="C1203" s="2">
        <v>46054</v>
      </c>
      <c r="D1203" s="2">
        <v>46134</v>
      </c>
      <c r="E1203">
        <v>39991659</v>
      </c>
      <c r="F1203">
        <v>40205210</v>
      </c>
      <c r="G1203">
        <v>213551</v>
      </c>
      <c r="H1203">
        <v>69.78</v>
      </c>
      <c r="I1203">
        <v>250000</v>
      </c>
      <c r="J1203" t="s">
        <v>51</v>
      </c>
      <c r="K1203">
        <v>0.25</v>
      </c>
      <c r="L1203">
        <v>0.25</v>
      </c>
      <c r="M1203">
        <v>15797686</v>
      </c>
      <c r="N1203">
        <v>15942397</v>
      </c>
      <c r="O1203">
        <v>51</v>
      </c>
      <c r="P1203">
        <v>48</v>
      </c>
      <c r="Q1203">
        <v>10828191</v>
      </c>
      <c r="R1203">
        <v>10842893</v>
      </c>
      <c r="S1203">
        <v>0</v>
      </c>
      <c r="T1203">
        <v>0</v>
      </c>
      <c r="U1203">
        <v>0</v>
      </c>
      <c r="V1203">
        <v>0</v>
      </c>
      <c r="W1203">
        <v>89426</v>
      </c>
      <c r="X1203">
        <v>81887</v>
      </c>
      <c r="Y1203">
        <v>13276305</v>
      </c>
      <c r="Z1203">
        <v>13337985</v>
      </c>
      <c r="AA1203">
        <f t="shared" si="37"/>
        <v>14702</v>
      </c>
      <c r="AB1203">
        <f t="shared" si="36"/>
        <v>0.1357752185937614</v>
      </c>
    </row>
    <row r="1204" spans="1:28">
      <c r="A1204" t="s">
        <v>43</v>
      </c>
      <c r="B1204" s="2">
        <v>46082</v>
      </c>
      <c r="C1204" s="2">
        <v>46054</v>
      </c>
      <c r="D1204" s="2">
        <v>46134</v>
      </c>
      <c r="E1204">
        <v>13132502</v>
      </c>
      <c r="F1204">
        <v>13273889</v>
      </c>
      <c r="G1204">
        <v>141387</v>
      </c>
      <c r="H1204">
        <v>96.84</v>
      </c>
      <c r="I1204">
        <v>40000</v>
      </c>
      <c r="J1204" t="s">
        <v>51</v>
      </c>
      <c r="K1204">
        <v>0.03</v>
      </c>
      <c r="L1204">
        <v>0.04</v>
      </c>
      <c r="M1204">
        <v>6636085</v>
      </c>
      <c r="N1204">
        <v>6724753</v>
      </c>
      <c r="O1204">
        <v>0</v>
      </c>
      <c r="P1204">
        <v>0</v>
      </c>
      <c r="Q1204">
        <v>597462</v>
      </c>
      <c r="R1204">
        <v>595310</v>
      </c>
      <c r="S1204">
        <v>1305447</v>
      </c>
      <c r="T1204">
        <v>1296967</v>
      </c>
      <c r="U1204">
        <v>0</v>
      </c>
      <c r="V1204">
        <v>0</v>
      </c>
      <c r="W1204">
        <v>0</v>
      </c>
      <c r="X1204">
        <v>0</v>
      </c>
      <c r="Y1204">
        <v>4593508</v>
      </c>
      <c r="Z1204">
        <v>4656859</v>
      </c>
      <c r="AA1204">
        <f t="shared" si="37"/>
        <v>-2152</v>
      </c>
      <c r="AB1204">
        <f t="shared" si="36"/>
        <v>-0.36019027151517585</v>
      </c>
    </row>
    <row r="1205" spans="1:28">
      <c r="A1205" t="s">
        <v>44</v>
      </c>
      <c r="B1205" s="2">
        <v>46082</v>
      </c>
      <c r="C1205" s="2">
        <v>46054</v>
      </c>
      <c r="D1205" s="2">
        <v>46134</v>
      </c>
      <c r="E1205">
        <v>37750868</v>
      </c>
      <c r="F1205">
        <v>38158102</v>
      </c>
      <c r="G1205">
        <v>407234</v>
      </c>
      <c r="H1205">
        <v>87.12</v>
      </c>
      <c r="I1205">
        <v>250000</v>
      </c>
      <c r="J1205" t="s">
        <v>51</v>
      </c>
      <c r="K1205">
        <v>0.22</v>
      </c>
      <c r="L1205">
        <v>0.25</v>
      </c>
      <c r="M1205">
        <v>13153321</v>
      </c>
      <c r="N1205">
        <v>13309058</v>
      </c>
      <c r="O1205">
        <v>0</v>
      </c>
      <c r="P1205">
        <v>0</v>
      </c>
      <c r="Q1205">
        <v>1503646</v>
      </c>
      <c r="R1205">
        <v>1521363</v>
      </c>
      <c r="S1205">
        <v>5507651</v>
      </c>
      <c r="T1205">
        <v>5500943</v>
      </c>
      <c r="U1205">
        <v>0</v>
      </c>
      <c r="V1205">
        <v>0</v>
      </c>
      <c r="W1205">
        <v>0</v>
      </c>
      <c r="X1205">
        <v>0</v>
      </c>
      <c r="Y1205">
        <v>17586250</v>
      </c>
      <c r="Z1205">
        <v>17826738</v>
      </c>
      <c r="AA1205">
        <f t="shared" si="37"/>
        <v>17717</v>
      </c>
      <c r="AB1205">
        <f t="shared" si="36"/>
        <v>1.1782693532919317</v>
      </c>
    </row>
    <row r="1206" spans="1:28">
      <c r="A1206" t="s">
        <v>45</v>
      </c>
      <c r="B1206" s="2">
        <v>46082</v>
      </c>
      <c r="C1206" s="2">
        <v>46054</v>
      </c>
      <c r="D1206" s="2">
        <v>46134</v>
      </c>
      <c r="E1206">
        <v>35428431</v>
      </c>
      <c r="F1206">
        <v>35559613</v>
      </c>
      <c r="G1206">
        <v>131182</v>
      </c>
      <c r="H1206">
        <v>94.19</v>
      </c>
      <c r="I1206">
        <v>390000</v>
      </c>
      <c r="J1206" t="s">
        <v>51</v>
      </c>
      <c r="K1206">
        <v>0.38</v>
      </c>
      <c r="L1206">
        <v>0.39</v>
      </c>
      <c r="M1206">
        <v>14059983</v>
      </c>
      <c r="N1206">
        <v>14145393</v>
      </c>
      <c r="O1206">
        <v>5</v>
      </c>
      <c r="P1206">
        <v>5</v>
      </c>
      <c r="Q1206">
        <v>5616780</v>
      </c>
      <c r="R1206">
        <v>5633877</v>
      </c>
      <c r="S1206">
        <v>4103312</v>
      </c>
      <c r="T1206">
        <v>4098495</v>
      </c>
      <c r="U1206">
        <v>0</v>
      </c>
      <c r="V1206">
        <v>0</v>
      </c>
      <c r="W1206">
        <v>0</v>
      </c>
      <c r="X1206">
        <v>0</v>
      </c>
      <c r="Y1206">
        <v>11648351</v>
      </c>
      <c r="Z1206">
        <v>11681843</v>
      </c>
      <c r="AA1206">
        <f t="shared" si="37"/>
        <v>17097</v>
      </c>
      <c r="AB1206">
        <f t="shared" si="36"/>
        <v>0.30439148408874839</v>
      </c>
    </row>
    <row r="1207" spans="1:28">
      <c r="A1207" t="s">
        <v>46</v>
      </c>
      <c r="B1207" s="2">
        <v>46082</v>
      </c>
      <c r="C1207" s="2">
        <v>46054</v>
      </c>
      <c r="D1207" s="2">
        <v>46134</v>
      </c>
      <c r="E1207">
        <v>67378858</v>
      </c>
      <c r="F1207">
        <v>67781759</v>
      </c>
      <c r="G1207">
        <v>402901</v>
      </c>
      <c r="H1207">
        <v>92.25</v>
      </c>
      <c r="I1207">
        <v>750000</v>
      </c>
      <c r="J1207" t="s">
        <v>51</v>
      </c>
      <c r="K1207">
        <v>0.79</v>
      </c>
      <c r="L1207">
        <v>0.75</v>
      </c>
      <c r="M1207">
        <v>25683135</v>
      </c>
      <c r="N1207">
        <v>25919581</v>
      </c>
      <c r="O1207">
        <v>36</v>
      </c>
      <c r="P1207">
        <v>36</v>
      </c>
      <c r="Q1207">
        <v>8418253</v>
      </c>
      <c r="R1207">
        <v>8381177</v>
      </c>
      <c r="S1207">
        <v>5733509</v>
      </c>
      <c r="T1207">
        <v>5739342</v>
      </c>
      <c r="U1207">
        <v>0</v>
      </c>
      <c r="V1207">
        <v>0</v>
      </c>
      <c r="W1207">
        <v>0</v>
      </c>
      <c r="X1207">
        <v>0</v>
      </c>
      <c r="Y1207">
        <v>27543925</v>
      </c>
      <c r="Z1207">
        <v>27741623</v>
      </c>
      <c r="AA1207">
        <f t="shared" si="37"/>
        <v>-37076</v>
      </c>
      <c r="AB1207">
        <f t="shared" si="36"/>
        <v>-0.44042392168541378</v>
      </c>
    </row>
    <row r="1208" spans="1:28">
      <c r="A1208" t="s">
        <v>47</v>
      </c>
      <c r="B1208" s="2">
        <v>46082</v>
      </c>
      <c r="C1208" s="2">
        <v>46054</v>
      </c>
      <c r="D1208" s="2">
        <v>46134</v>
      </c>
      <c r="E1208">
        <v>80163289</v>
      </c>
      <c r="F1208">
        <v>80513966</v>
      </c>
      <c r="G1208">
        <v>350677</v>
      </c>
      <c r="H1208">
        <v>79.040000000000006</v>
      </c>
      <c r="I1208">
        <v>630000</v>
      </c>
      <c r="J1208" t="s">
        <v>51</v>
      </c>
      <c r="K1208">
        <v>0.56000000000000005</v>
      </c>
      <c r="L1208">
        <v>0.63</v>
      </c>
      <c r="M1208">
        <v>32957309</v>
      </c>
      <c r="N1208">
        <v>33196496</v>
      </c>
      <c r="O1208">
        <v>0</v>
      </c>
      <c r="P1208">
        <v>0</v>
      </c>
      <c r="Q1208">
        <v>14276884</v>
      </c>
      <c r="R1208">
        <v>14319339</v>
      </c>
      <c r="S1208">
        <v>7990412</v>
      </c>
      <c r="T1208">
        <v>7982319</v>
      </c>
      <c r="U1208">
        <v>0</v>
      </c>
      <c r="V1208">
        <v>0</v>
      </c>
      <c r="W1208">
        <v>0</v>
      </c>
      <c r="X1208">
        <v>0</v>
      </c>
      <c r="Y1208">
        <v>24938684</v>
      </c>
      <c r="Z1208">
        <v>25015812</v>
      </c>
      <c r="AA1208">
        <f t="shared" si="37"/>
        <v>42455</v>
      </c>
      <c r="AB1208">
        <f t="shared" si="36"/>
        <v>0.29736880960859524</v>
      </c>
    </row>
    <row r="1209" spans="1:28">
      <c r="A1209" t="s">
        <v>48</v>
      </c>
      <c r="B1209" s="2">
        <v>46082</v>
      </c>
      <c r="C1209" s="2">
        <v>46054</v>
      </c>
      <c r="D1209" s="2">
        <v>46134</v>
      </c>
      <c r="E1209">
        <v>108937185</v>
      </c>
      <c r="F1209">
        <v>109531696</v>
      </c>
      <c r="G1209">
        <v>594511</v>
      </c>
      <c r="H1209">
        <v>87.94</v>
      </c>
      <c r="I1209">
        <v>2140000</v>
      </c>
      <c r="J1209" t="s">
        <v>51</v>
      </c>
      <c r="K1209">
        <v>2.09</v>
      </c>
      <c r="L1209">
        <v>2.14</v>
      </c>
      <c r="M1209">
        <v>40720415</v>
      </c>
      <c r="N1209">
        <v>41112752</v>
      </c>
      <c r="O1209">
        <v>0</v>
      </c>
      <c r="P1209">
        <v>0</v>
      </c>
      <c r="Q1209">
        <v>15833950</v>
      </c>
      <c r="R1209">
        <v>15881819</v>
      </c>
      <c r="S1209">
        <v>8474962</v>
      </c>
      <c r="T1209">
        <v>8460976</v>
      </c>
      <c r="U1209">
        <v>0</v>
      </c>
      <c r="V1209">
        <v>0</v>
      </c>
      <c r="W1209">
        <v>0</v>
      </c>
      <c r="X1209">
        <v>0</v>
      </c>
      <c r="Y1209">
        <v>43907858</v>
      </c>
      <c r="Z1209">
        <v>44076149</v>
      </c>
      <c r="AA1209">
        <f t="shared" si="37"/>
        <v>47869</v>
      </c>
      <c r="AB1209">
        <f t="shared" si="36"/>
        <v>0.30231875179598272</v>
      </c>
    </row>
    <row r="1210" spans="1:28">
      <c r="A1210" t="s">
        <v>49</v>
      </c>
      <c r="B1210" s="2">
        <v>46082</v>
      </c>
      <c r="C1210" s="2">
        <v>46054</v>
      </c>
      <c r="D1210" s="2">
        <v>46134</v>
      </c>
      <c r="E1210">
        <v>65528302</v>
      </c>
      <c r="F1210">
        <v>66242031</v>
      </c>
      <c r="G1210">
        <v>713729</v>
      </c>
      <c r="H1210">
        <v>95.59</v>
      </c>
      <c r="I1210">
        <v>1490000</v>
      </c>
      <c r="J1210" t="s">
        <v>51</v>
      </c>
      <c r="K1210">
        <v>1.43</v>
      </c>
      <c r="L1210">
        <v>1.49</v>
      </c>
      <c r="M1210">
        <v>22227092</v>
      </c>
      <c r="N1210">
        <v>22650740</v>
      </c>
      <c r="O1210">
        <v>0</v>
      </c>
      <c r="P1210">
        <v>0</v>
      </c>
      <c r="Q1210">
        <v>12500495</v>
      </c>
      <c r="R1210">
        <v>12486372</v>
      </c>
      <c r="S1210">
        <v>5195981</v>
      </c>
      <c r="T1210">
        <v>5178467</v>
      </c>
      <c r="U1210">
        <v>0</v>
      </c>
      <c r="V1210">
        <v>0</v>
      </c>
      <c r="W1210">
        <v>0</v>
      </c>
      <c r="X1210">
        <v>0</v>
      </c>
      <c r="Y1210">
        <v>25604734</v>
      </c>
      <c r="Z1210">
        <v>25926452</v>
      </c>
      <c r="AA1210">
        <f t="shared" si="37"/>
        <v>-14123</v>
      </c>
      <c r="AB1210">
        <f t="shared" si="36"/>
        <v>-0.11297952601076998</v>
      </c>
    </row>
    <row r="1211" spans="1:28">
      <c r="A1211" t="s">
        <v>50</v>
      </c>
      <c r="B1211" s="2">
        <v>46082</v>
      </c>
      <c r="C1211" s="2">
        <v>46054</v>
      </c>
      <c r="D1211" s="2">
        <v>46134</v>
      </c>
      <c r="E1211">
        <v>57678828</v>
      </c>
      <c r="F1211">
        <v>57861426</v>
      </c>
      <c r="G1211">
        <v>182598</v>
      </c>
      <c r="H1211">
        <v>94.11</v>
      </c>
      <c r="I1211">
        <v>1260000</v>
      </c>
      <c r="J1211" t="s">
        <v>51</v>
      </c>
      <c r="K1211">
        <v>1.19</v>
      </c>
      <c r="L1211">
        <v>1.26</v>
      </c>
      <c r="M1211">
        <v>18842022</v>
      </c>
      <c r="N1211">
        <v>18897474</v>
      </c>
      <c r="O1211">
        <v>4</v>
      </c>
      <c r="P1211">
        <v>4</v>
      </c>
      <c r="Q1211">
        <v>10336783</v>
      </c>
      <c r="R1211">
        <v>10290794</v>
      </c>
      <c r="S1211">
        <v>2647259</v>
      </c>
      <c r="T1211">
        <v>2644149</v>
      </c>
      <c r="U1211">
        <v>0</v>
      </c>
      <c r="V1211">
        <v>0</v>
      </c>
      <c r="W1211">
        <v>0</v>
      </c>
      <c r="X1211">
        <v>0</v>
      </c>
      <c r="Y1211">
        <v>25852760</v>
      </c>
      <c r="Z1211">
        <v>26029005</v>
      </c>
      <c r="AA1211">
        <f t="shared" si="37"/>
        <v>-45989</v>
      </c>
      <c r="AB1211">
        <f t="shared" si="36"/>
        <v>-0.44490631176063195</v>
      </c>
    </row>
    <row r="1212" spans="1:28">
      <c r="A1212" t="s">
        <v>28</v>
      </c>
      <c r="B1212" s="2">
        <v>46113</v>
      </c>
      <c r="C1212" s="2">
        <v>46082</v>
      </c>
      <c r="D1212" s="2">
        <v>46168</v>
      </c>
      <c r="E1212">
        <v>87196806</v>
      </c>
      <c r="F1212">
        <v>87808488</v>
      </c>
      <c r="G1212">
        <v>611682</v>
      </c>
      <c r="H1212">
        <v>95.64</v>
      </c>
      <c r="I1212">
        <v>610000</v>
      </c>
      <c r="J1212" t="s">
        <v>51</v>
      </c>
      <c r="K1212">
        <v>0.63</v>
      </c>
      <c r="L1212">
        <v>0.61</v>
      </c>
      <c r="M1212">
        <v>38642976</v>
      </c>
      <c r="N1212">
        <v>38970326</v>
      </c>
      <c r="O1212">
        <v>0</v>
      </c>
      <c r="P1212">
        <v>0</v>
      </c>
      <c r="Q1212">
        <v>8839537</v>
      </c>
      <c r="R1212">
        <v>8802096</v>
      </c>
      <c r="S1212">
        <v>7489676</v>
      </c>
      <c r="T1212">
        <v>7557962</v>
      </c>
      <c r="U1212">
        <v>0</v>
      </c>
      <c r="V1212">
        <v>0</v>
      </c>
      <c r="W1212">
        <v>0</v>
      </c>
      <c r="X1212">
        <v>0</v>
      </c>
      <c r="Y1212">
        <v>32224617</v>
      </c>
      <c r="Z1212">
        <v>32478104</v>
      </c>
      <c r="AA1212">
        <f t="shared" si="37"/>
        <v>-37441</v>
      </c>
      <c r="AB1212">
        <f t="shared" si="36"/>
        <v>-0.42356290832879595</v>
      </c>
    </row>
    <row r="1213" spans="1:28">
      <c r="A1213" t="s">
        <v>30</v>
      </c>
      <c r="B1213" s="2">
        <v>46113</v>
      </c>
      <c r="C1213" s="2">
        <v>46082</v>
      </c>
      <c r="D1213" s="2">
        <v>46168</v>
      </c>
      <c r="E1213">
        <v>29210536</v>
      </c>
      <c r="F1213">
        <v>29364435</v>
      </c>
      <c r="G1213">
        <v>153899</v>
      </c>
      <c r="H1213">
        <v>90.92</v>
      </c>
      <c r="I1213">
        <v>130000</v>
      </c>
      <c r="J1213" t="s">
        <v>51</v>
      </c>
      <c r="K1213">
        <v>0.13</v>
      </c>
      <c r="L1213">
        <v>0.13</v>
      </c>
      <c r="M1213">
        <v>14786568</v>
      </c>
      <c r="N1213">
        <v>14896478</v>
      </c>
      <c r="O1213">
        <v>0</v>
      </c>
      <c r="P1213">
        <v>0</v>
      </c>
      <c r="Q1213">
        <v>1480568</v>
      </c>
      <c r="R1213">
        <v>1485056</v>
      </c>
      <c r="S1213">
        <v>2928181</v>
      </c>
      <c r="T1213">
        <v>2922793</v>
      </c>
      <c r="U1213">
        <v>0</v>
      </c>
      <c r="V1213">
        <v>0</v>
      </c>
      <c r="W1213">
        <v>0</v>
      </c>
      <c r="X1213">
        <v>0</v>
      </c>
      <c r="Y1213">
        <v>10015219</v>
      </c>
      <c r="Z1213">
        <v>10060108</v>
      </c>
      <c r="AA1213">
        <f t="shared" si="37"/>
        <v>4488</v>
      </c>
      <c r="AB1213">
        <f t="shared" si="36"/>
        <v>0.30312690805150455</v>
      </c>
    </row>
    <row r="1214" spans="1:28">
      <c r="A1214" t="s">
        <v>31</v>
      </c>
      <c r="B1214" s="2">
        <v>46113</v>
      </c>
      <c r="C1214" s="2">
        <v>46082</v>
      </c>
      <c r="D1214" s="2">
        <v>46168</v>
      </c>
      <c r="E1214">
        <v>107528882</v>
      </c>
      <c r="F1214">
        <v>107727074</v>
      </c>
      <c r="G1214">
        <v>198192</v>
      </c>
      <c r="H1214">
        <v>89.42</v>
      </c>
      <c r="I1214">
        <v>1340000</v>
      </c>
      <c r="J1214" t="s">
        <v>51</v>
      </c>
      <c r="K1214">
        <v>1.32</v>
      </c>
      <c r="L1214">
        <v>1.34</v>
      </c>
      <c r="M1214">
        <v>49486508</v>
      </c>
      <c r="N1214">
        <v>49517464</v>
      </c>
      <c r="O1214">
        <v>0</v>
      </c>
      <c r="P1214">
        <v>0</v>
      </c>
      <c r="Q1214">
        <v>7417265</v>
      </c>
      <c r="R1214">
        <v>7434457</v>
      </c>
      <c r="S1214">
        <v>5626979</v>
      </c>
      <c r="T1214">
        <v>5625714</v>
      </c>
      <c r="U1214">
        <v>0</v>
      </c>
      <c r="V1214">
        <v>0</v>
      </c>
      <c r="W1214">
        <v>0</v>
      </c>
      <c r="X1214">
        <v>0</v>
      </c>
      <c r="Y1214">
        <v>44998130</v>
      </c>
      <c r="Z1214">
        <v>45149439</v>
      </c>
      <c r="AA1214">
        <f t="shared" si="37"/>
        <v>17192</v>
      </c>
      <c r="AB1214">
        <f t="shared" si="36"/>
        <v>0.2317835482485795</v>
      </c>
    </row>
    <row r="1215" spans="1:28">
      <c r="A1215" t="s">
        <v>32</v>
      </c>
      <c r="B1215" s="2">
        <v>46113</v>
      </c>
      <c r="C1215" s="2">
        <v>46082</v>
      </c>
      <c r="D1215" s="2">
        <v>46168</v>
      </c>
      <c r="E1215">
        <v>75623940</v>
      </c>
      <c r="F1215">
        <v>76194241</v>
      </c>
      <c r="G1215">
        <v>570301</v>
      </c>
      <c r="H1215">
        <v>51.23</v>
      </c>
      <c r="I1215">
        <v>630000</v>
      </c>
      <c r="J1215" t="s">
        <v>51</v>
      </c>
      <c r="K1215">
        <v>0.6</v>
      </c>
      <c r="L1215">
        <v>0.63</v>
      </c>
      <c r="M1215">
        <v>38960542</v>
      </c>
      <c r="N1215">
        <v>39262547</v>
      </c>
      <c r="O1215">
        <v>2</v>
      </c>
      <c r="P1215">
        <v>2</v>
      </c>
      <c r="Q1215">
        <v>16095501</v>
      </c>
      <c r="R1215">
        <v>16189801</v>
      </c>
      <c r="S1215">
        <v>0</v>
      </c>
      <c r="T1215">
        <v>0</v>
      </c>
      <c r="U1215">
        <v>0</v>
      </c>
      <c r="V1215">
        <v>0</v>
      </c>
      <c r="W1215">
        <v>133080</v>
      </c>
      <c r="X1215">
        <v>129207</v>
      </c>
      <c r="Y1215">
        <v>20434815</v>
      </c>
      <c r="Z1215">
        <v>20612684</v>
      </c>
      <c r="AA1215">
        <f t="shared" si="37"/>
        <v>94300</v>
      </c>
      <c r="AB1215">
        <f t="shared" si="36"/>
        <v>0.58587800404597534</v>
      </c>
    </row>
    <row r="1216" spans="1:28">
      <c r="A1216" t="s">
        <v>33</v>
      </c>
      <c r="B1216" s="2">
        <v>46113</v>
      </c>
      <c r="C1216" s="2">
        <v>46082</v>
      </c>
      <c r="D1216" s="2">
        <v>46168</v>
      </c>
      <c r="E1216">
        <v>71413833</v>
      </c>
      <c r="F1216">
        <v>71880639</v>
      </c>
      <c r="G1216">
        <v>466806</v>
      </c>
      <c r="H1216">
        <v>88.46</v>
      </c>
      <c r="I1216">
        <v>1010000</v>
      </c>
      <c r="J1216" t="s">
        <v>51</v>
      </c>
      <c r="K1216">
        <v>0.93</v>
      </c>
      <c r="L1216">
        <v>1.01</v>
      </c>
      <c r="M1216">
        <v>15664281</v>
      </c>
      <c r="N1216">
        <v>15723878</v>
      </c>
      <c r="O1216">
        <v>1</v>
      </c>
      <c r="P1216">
        <v>1</v>
      </c>
      <c r="Q1216">
        <v>19559053</v>
      </c>
      <c r="R1216">
        <v>19729396</v>
      </c>
      <c r="S1216">
        <v>3290591</v>
      </c>
      <c r="T1216">
        <v>3295987</v>
      </c>
      <c r="U1216">
        <v>0</v>
      </c>
      <c r="V1216">
        <v>0</v>
      </c>
      <c r="W1216">
        <v>0</v>
      </c>
      <c r="X1216">
        <v>0</v>
      </c>
      <c r="Y1216">
        <v>32899907</v>
      </c>
      <c r="Z1216">
        <v>33131377</v>
      </c>
      <c r="AA1216">
        <f t="shared" si="37"/>
        <v>170343</v>
      </c>
      <c r="AB1216">
        <f t="shared" si="36"/>
        <v>0.87091639866204162</v>
      </c>
    </row>
    <row r="1217" spans="1:28">
      <c r="A1217" t="s">
        <v>34</v>
      </c>
      <c r="B1217" s="2">
        <v>46113</v>
      </c>
      <c r="C1217" s="2">
        <v>46082</v>
      </c>
      <c r="D1217" s="2">
        <v>46168</v>
      </c>
      <c r="E1217">
        <v>26815661</v>
      </c>
      <c r="F1217">
        <v>26974295</v>
      </c>
      <c r="G1217">
        <v>158634</v>
      </c>
      <c r="H1217">
        <v>92</v>
      </c>
      <c r="I1217">
        <v>410000</v>
      </c>
      <c r="J1217" t="s">
        <v>51</v>
      </c>
      <c r="K1217">
        <v>0.43</v>
      </c>
      <c r="L1217">
        <v>0.41</v>
      </c>
      <c r="M1217">
        <v>7854741</v>
      </c>
      <c r="N1217">
        <v>7887027</v>
      </c>
      <c r="O1217">
        <v>0</v>
      </c>
      <c r="P1217">
        <v>0</v>
      </c>
      <c r="Q1217">
        <v>6231180</v>
      </c>
      <c r="R1217">
        <v>6224074</v>
      </c>
      <c r="S1217">
        <v>4509472</v>
      </c>
      <c r="T1217">
        <v>4559710</v>
      </c>
      <c r="U1217">
        <v>0</v>
      </c>
      <c r="V1217">
        <v>0</v>
      </c>
      <c r="W1217">
        <v>0</v>
      </c>
      <c r="X1217">
        <v>0</v>
      </c>
      <c r="Y1217">
        <v>8220268</v>
      </c>
      <c r="Z1217">
        <v>8303484</v>
      </c>
      <c r="AA1217">
        <f t="shared" si="37"/>
        <v>-7106</v>
      </c>
      <c r="AB1217">
        <f t="shared" si="36"/>
        <v>-0.11403939542751133</v>
      </c>
    </row>
    <row r="1218" spans="1:28">
      <c r="A1218" t="s">
        <v>35</v>
      </c>
      <c r="B1218" s="2">
        <v>46113</v>
      </c>
      <c r="C1218" s="2">
        <v>46082</v>
      </c>
      <c r="D1218" s="2">
        <v>46168</v>
      </c>
      <c r="E1218">
        <v>9392216</v>
      </c>
      <c r="F1218">
        <v>9392322</v>
      </c>
      <c r="G1218">
        <v>106</v>
      </c>
      <c r="H1218">
        <v>97.3</v>
      </c>
      <c r="I1218">
        <v>60000</v>
      </c>
      <c r="J1218" t="s">
        <v>51</v>
      </c>
      <c r="K1218">
        <v>0.06</v>
      </c>
      <c r="L1218">
        <v>0.06</v>
      </c>
      <c r="M1218">
        <v>3630477</v>
      </c>
      <c r="N1218">
        <v>3637192</v>
      </c>
      <c r="O1218">
        <v>0</v>
      </c>
      <c r="P1218">
        <v>0</v>
      </c>
      <c r="Q1218">
        <v>393644</v>
      </c>
      <c r="R1218">
        <v>396820</v>
      </c>
      <c r="S1218">
        <v>1777880</v>
      </c>
      <c r="T1218">
        <v>1780772</v>
      </c>
      <c r="U1218">
        <v>0</v>
      </c>
      <c r="V1218">
        <v>0</v>
      </c>
      <c r="W1218">
        <v>0</v>
      </c>
      <c r="X1218">
        <v>0</v>
      </c>
      <c r="Y1218">
        <v>3590215</v>
      </c>
      <c r="Z1218">
        <v>3577538</v>
      </c>
      <c r="AA1218">
        <f t="shared" si="37"/>
        <v>3176</v>
      </c>
      <c r="AB1218">
        <f t="shared" si="36"/>
        <v>0.80682037577100119</v>
      </c>
    </row>
    <row r="1219" spans="1:28">
      <c r="A1219" t="s">
        <v>36</v>
      </c>
      <c r="B1219" s="2">
        <v>46113</v>
      </c>
      <c r="C1219" s="2">
        <v>46082</v>
      </c>
      <c r="D1219" s="2">
        <v>46168</v>
      </c>
      <c r="E1219">
        <v>13448383</v>
      </c>
      <c r="F1219">
        <v>13628920</v>
      </c>
      <c r="G1219">
        <v>180537</v>
      </c>
      <c r="H1219">
        <v>75.66</v>
      </c>
      <c r="I1219">
        <v>90000</v>
      </c>
      <c r="J1219" t="s">
        <v>51</v>
      </c>
      <c r="K1219">
        <v>0.08</v>
      </c>
      <c r="L1219">
        <v>0.09</v>
      </c>
      <c r="M1219">
        <v>6704199</v>
      </c>
      <c r="N1219">
        <v>6796765</v>
      </c>
      <c r="O1219">
        <v>0</v>
      </c>
      <c r="P1219">
        <v>0</v>
      </c>
      <c r="Q1219">
        <v>276509</v>
      </c>
      <c r="R1219">
        <v>280908</v>
      </c>
      <c r="S1219">
        <v>851147</v>
      </c>
      <c r="T1219">
        <v>854884</v>
      </c>
      <c r="U1219">
        <v>0</v>
      </c>
      <c r="V1219">
        <v>0</v>
      </c>
      <c r="W1219">
        <v>0</v>
      </c>
      <c r="X1219">
        <v>0</v>
      </c>
      <c r="Y1219">
        <v>5616528</v>
      </c>
      <c r="Z1219">
        <v>5696363</v>
      </c>
      <c r="AA1219">
        <f t="shared" si="37"/>
        <v>4399</v>
      </c>
      <c r="AB1219">
        <f t="shared" ref="AB1219:AB1282" si="38">(($R1219-$Q1219)/$Q1219)*100</f>
        <v>1.5909066251008106</v>
      </c>
    </row>
    <row r="1220" spans="1:28">
      <c r="A1220" t="s">
        <v>37</v>
      </c>
      <c r="B1220" s="2">
        <v>46113</v>
      </c>
      <c r="C1220" s="2">
        <v>46082</v>
      </c>
      <c r="D1220" s="2">
        <v>46168</v>
      </c>
      <c r="E1220">
        <v>82747583</v>
      </c>
      <c r="F1220">
        <v>83076417</v>
      </c>
      <c r="G1220">
        <v>328834</v>
      </c>
      <c r="H1220">
        <v>68.03</v>
      </c>
      <c r="I1220">
        <v>540000</v>
      </c>
      <c r="J1220" t="s">
        <v>51</v>
      </c>
      <c r="K1220">
        <v>0.55000000000000004</v>
      </c>
      <c r="L1220">
        <v>0.54</v>
      </c>
      <c r="M1220">
        <v>43989594</v>
      </c>
      <c r="N1220">
        <v>44269515</v>
      </c>
      <c r="O1220">
        <v>102</v>
      </c>
      <c r="P1220">
        <v>75</v>
      </c>
      <c r="Q1220">
        <v>7617380</v>
      </c>
      <c r="R1220">
        <v>7615960</v>
      </c>
      <c r="S1220">
        <v>4711589</v>
      </c>
      <c r="T1220">
        <v>4725412</v>
      </c>
      <c r="U1220">
        <v>0</v>
      </c>
      <c r="V1220">
        <v>0</v>
      </c>
      <c r="W1220">
        <v>0</v>
      </c>
      <c r="X1220">
        <v>0</v>
      </c>
      <c r="Y1220">
        <v>26428918</v>
      </c>
      <c r="Z1220">
        <v>26465455</v>
      </c>
      <c r="AA1220">
        <f t="shared" ref="AA1220:AA1283" si="39">$R1220-$Q1220</f>
        <v>-1420</v>
      </c>
      <c r="AB1220">
        <f t="shared" si="38"/>
        <v>-1.864158017586099E-2</v>
      </c>
    </row>
    <row r="1221" spans="1:28">
      <c r="A1221" t="s">
        <v>38</v>
      </c>
      <c r="B1221" s="2">
        <v>46113</v>
      </c>
      <c r="C1221" s="2">
        <v>46082</v>
      </c>
      <c r="D1221" s="2">
        <v>46168</v>
      </c>
      <c r="E1221">
        <v>42463113</v>
      </c>
      <c r="F1221">
        <v>42472747</v>
      </c>
      <c r="G1221">
        <v>9634</v>
      </c>
      <c r="H1221">
        <v>93.23</v>
      </c>
      <c r="I1221">
        <v>230000</v>
      </c>
      <c r="J1221" t="s">
        <v>51</v>
      </c>
      <c r="K1221">
        <v>0.23</v>
      </c>
      <c r="L1221">
        <v>0.23</v>
      </c>
      <c r="M1221">
        <v>9582288</v>
      </c>
      <c r="N1221">
        <v>9631490</v>
      </c>
      <c r="O1221">
        <v>3</v>
      </c>
      <c r="P1221">
        <v>3</v>
      </c>
      <c r="Q1221">
        <v>12782282</v>
      </c>
      <c r="R1221">
        <v>12764197</v>
      </c>
      <c r="S1221">
        <v>8961293</v>
      </c>
      <c r="T1221">
        <v>8961337</v>
      </c>
      <c r="U1221">
        <v>0</v>
      </c>
      <c r="V1221">
        <v>0</v>
      </c>
      <c r="W1221">
        <v>0</v>
      </c>
      <c r="X1221">
        <v>0</v>
      </c>
      <c r="Y1221">
        <v>11137247</v>
      </c>
      <c r="Z1221">
        <v>11115720</v>
      </c>
      <c r="AA1221">
        <f t="shared" si="39"/>
        <v>-18085</v>
      </c>
      <c r="AB1221">
        <f t="shared" si="38"/>
        <v>-0.14148490856327531</v>
      </c>
    </row>
    <row r="1222" spans="1:28">
      <c r="A1222" t="s">
        <v>39</v>
      </c>
      <c r="B1222" s="2">
        <v>46113</v>
      </c>
      <c r="C1222" s="2">
        <v>46082</v>
      </c>
      <c r="D1222" s="2">
        <v>46168</v>
      </c>
      <c r="E1222">
        <v>22944299</v>
      </c>
      <c r="F1222">
        <v>23064047</v>
      </c>
      <c r="G1222">
        <v>119748</v>
      </c>
      <c r="H1222">
        <v>86.08</v>
      </c>
      <c r="I1222">
        <v>180000</v>
      </c>
      <c r="J1222" t="s">
        <v>51</v>
      </c>
      <c r="K1222">
        <v>0.17</v>
      </c>
      <c r="L1222">
        <v>0.18</v>
      </c>
      <c r="M1222">
        <v>5994154</v>
      </c>
      <c r="N1222">
        <v>5981811</v>
      </c>
      <c r="O1222">
        <v>0</v>
      </c>
      <c r="P1222">
        <v>0</v>
      </c>
      <c r="Q1222">
        <v>4593122</v>
      </c>
      <c r="R1222">
        <v>4568463</v>
      </c>
      <c r="S1222">
        <v>1423628</v>
      </c>
      <c r="T1222">
        <v>1426037</v>
      </c>
      <c r="U1222">
        <v>0</v>
      </c>
      <c r="V1222">
        <v>0</v>
      </c>
      <c r="W1222">
        <v>0</v>
      </c>
      <c r="X1222">
        <v>0</v>
      </c>
      <c r="Y1222">
        <v>10933395</v>
      </c>
      <c r="Z1222">
        <v>11087736</v>
      </c>
      <c r="AA1222">
        <f t="shared" si="39"/>
        <v>-24659</v>
      </c>
      <c r="AB1222">
        <f t="shared" si="38"/>
        <v>-0.53686795168950441</v>
      </c>
    </row>
    <row r="1223" spans="1:28">
      <c r="A1223" t="s">
        <v>40</v>
      </c>
      <c r="B1223" s="2">
        <v>46113</v>
      </c>
      <c r="C1223" s="2">
        <v>46082</v>
      </c>
      <c r="D1223" s="2">
        <v>46168</v>
      </c>
      <c r="E1223">
        <v>85646281</v>
      </c>
      <c r="F1223">
        <v>86002327</v>
      </c>
      <c r="G1223">
        <v>356046</v>
      </c>
      <c r="H1223">
        <v>88.28</v>
      </c>
      <c r="I1223">
        <v>1340000</v>
      </c>
      <c r="J1223" t="s">
        <v>51</v>
      </c>
      <c r="K1223">
        <v>1.4</v>
      </c>
      <c r="L1223">
        <v>1.34</v>
      </c>
      <c r="M1223">
        <v>18298313</v>
      </c>
      <c r="N1223">
        <v>18400729</v>
      </c>
      <c r="O1223">
        <v>0</v>
      </c>
      <c r="P1223">
        <v>0</v>
      </c>
      <c r="Q1223">
        <v>12609315</v>
      </c>
      <c r="R1223">
        <v>12507611</v>
      </c>
      <c r="S1223">
        <v>5132531</v>
      </c>
      <c r="T1223">
        <v>5140116</v>
      </c>
      <c r="U1223">
        <v>0</v>
      </c>
      <c r="V1223">
        <v>0</v>
      </c>
      <c r="W1223">
        <v>0</v>
      </c>
      <c r="X1223">
        <v>0</v>
      </c>
      <c r="Y1223">
        <v>49606122</v>
      </c>
      <c r="Z1223">
        <v>49953871</v>
      </c>
      <c r="AA1223">
        <f t="shared" si="39"/>
        <v>-101704</v>
      </c>
      <c r="AB1223">
        <f t="shared" si="38"/>
        <v>-0.80657831135156832</v>
      </c>
    </row>
    <row r="1224" spans="1:28">
      <c r="A1224" t="s">
        <v>41</v>
      </c>
      <c r="B1224" s="2">
        <v>46113</v>
      </c>
      <c r="C1224" s="2">
        <v>46082</v>
      </c>
      <c r="D1224" s="2">
        <v>46168</v>
      </c>
      <c r="E1224">
        <v>102167582</v>
      </c>
      <c r="F1224">
        <v>102866747</v>
      </c>
      <c r="G1224">
        <v>699165</v>
      </c>
      <c r="H1224">
        <v>93.1</v>
      </c>
      <c r="I1224">
        <v>970000</v>
      </c>
      <c r="J1224" t="s">
        <v>51</v>
      </c>
      <c r="K1224">
        <v>0.92</v>
      </c>
      <c r="L1224">
        <v>0.97</v>
      </c>
      <c r="M1224">
        <v>32250561</v>
      </c>
      <c r="N1224">
        <v>32726341</v>
      </c>
      <c r="O1224">
        <v>0</v>
      </c>
      <c r="P1224">
        <v>0</v>
      </c>
      <c r="Q1224">
        <v>20636495</v>
      </c>
      <c r="R1224">
        <v>20597024</v>
      </c>
      <c r="S1224">
        <v>5338848</v>
      </c>
      <c r="T1224">
        <v>5316718</v>
      </c>
      <c r="U1224">
        <v>0</v>
      </c>
      <c r="V1224">
        <v>0</v>
      </c>
      <c r="W1224">
        <v>0</v>
      </c>
      <c r="X1224">
        <v>0</v>
      </c>
      <c r="Y1224">
        <v>43941678</v>
      </c>
      <c r="Z1224">
        <v>44226664</v>
      </c>
      <c r="AA1224">
        <f t="shared" si="39"/>
        <v>-39471</v>
      </c>
      <c r="AB1224">
        <f t="shared" si="38"/>
        <v>-0.19126794545294634</v>
      </c>
    </row>
    <row r="1225" spans="1:28">
      <c r="A1225" t="s">
        <v>42</v>
      </c>
      <c r="B1225" s="2">
        <v>46113</v>
      </c>
      <c r="C1225" s="2">
        <v>46082</v>
      </c>
      <c r="D1225" s="2">
        <v>46168</v>
      </c>
      <c r="E1225">
        <v>40205210</v>
      </c>
      <c r="F1225">
        <v>40379468</v>
      </c>
      <c r="G1225">
        <v>174258</v>
      </c>
      <c r="H1225">
        <v>69.63</v>
      </c>
      <c r="I1225">
        <v>260000</v>
      </c>
      <c r="J1225" t="s">
        <v>51</v>
      </c>
      <c r="K1225">
        <v>0.25</v>
      </c>
      <c r="L1225">
        <v>0.26</v>
      </c>
      <c r="M1225">
        <v>15942397</v>
      </c>
      <c r="N1225">
        <v>16078527</v>
      </c>
      <c r="O1225">
        <v>48</v>
      </c>
      <c r="P1225">
        <v>40</v>
      </c>
      <c r="Q1225">
        <v>10842893</v>
      </c>
      <c r="R1225">
        <v>10821735</v>
      </c>
      <c r="S1225">
        <v>0</v>
      </c>
      <c r="T1225">
        <v>0</v>
      </c>
      <c r="U1225">
        <v>0</v>
      </c>
      <c r="V1225">
        <v>0</v>
      </c>
      <c r="W1225">
        <v>81887</v>
      </c>
      <c r="X1225">
        <v>52357</v>
      </c>
      <c r="Y1225">
        <v>13337985</v>
      </c>
      <c r="Z1225">
        <v>13426809</v>
      </c>
      <c r="AA1225">
        <f t="shared" si="39"/>
        <v>-21158</v>
      </c>
      <c r="AB1225">
        <f t="shared" si="38"/>
        <v>-0.19513242452913626</v>
      </c>
    </row>
    <row r="1226" spans="1:28">
      <c r="A1226" t="s">
        <v>43</v>
      </c>
      <c r="B1226" s="2">
        <v>46113</v>
      </c>
      <c r="C1226" s="2">
        <v>46082</v>
      </c>
      <c r="D1226" s="2">
        <v>46168</v>
      </c>
      <c r="E1226">
        <v>13273889</v>
      </c>
      <c r="F1226">
        <v>13348323</v>
      </c>
      <c r="G1226">
        <v>74434</v>
      </c>
      <c r="H1226">
        <v>96.45</v>
      </c>
      <c r="I1226">
        <v>40000</v>
      </c>
      <c r="J1226" t="s">
        <v>51</v>
      </c>
      <c r="K1226">
        <v>0.04</v>
      </c>
      <c r="L1226">
        <v>0.04</v>
      </c>
      <c r="M1226">
        <v>6724753</v>
      </c>
      <c r="N1226">
        <v>6773477</v>
      </c>
      <c r="O1226">
        <v>0</v>
      </c>
      <c r="P1226">
        <v>0</v>
      </c>
      <c r="Q1226">
        <v>595310</v>
      </c>
      <c r="R1226">
        <v>596157</v>
      </c>
      <c r="S1226">
        <v>1296967</v>
      </c>
      <c r="T1226">
        <v>1296058</v>
      </c>
      <c r="U1226">
        <v>0</v>
      </c>
      <c r="V1226">
        <v>0</v>
      </c>
      <c r="W1226">
        <v>0</v>
      </c>
      <c r="X1226">
        <v>0</v>
      </c>
      <c r="Y1226">
        <v>4656859</v>
      </c>
      <c r="Z1226">
        <v>4682631</v>
      </c>
      <c r="AA1226">
        <f t="shared" si="39"/>
        <v>847</v>
      </c>
      <c r="AB1226">
        <f t="shared" si="38"/>
        <v>0.1422788127194235</v>
      </c>
    </row>
    <row r="1227" spans="1:28">
      <c r="A1227" t="s">
        <v>44</v>
      </c>
      <c r="B1227" s="2">
        <v>46113</v>
      </c>
      <c r="C1227" s="2">
        <v>46082</v>
      </c>
      <c r="D1227" s="2">
        <v>46168</v>
      </c>
      <c r="E1227">
        <v>38158102</v>
      </c>
      <c r="F1227">
        <v>38410961</v>
      </c>
      <c r="G1227">
        <v>252859</v>
      </c>
      <c r="H1227">
        <v>87.17</v>
      </c>
      <c r="I1227">
        <v>240000</v>
      </c>
      <c r="J1227" t="s">
        <v>51</v>
      </c>
      <c r="K1227">
        <v>0.25</v>
      </c>
      <c r="L1227">
        <v>0.24</v>
      </c>
      <c r="M1227">
        <v>13309058</v>
      </c>
      <c r="N1227">
        <v>13405275</v>
      </c>
      <c r="O1227">
        <v>0</v>
      </c>
      <c r="P1227">
        <v>0</v>
      </c>
      <c r="Q1227">
        <v>1521363</v>
      </c>
      <c r="R1227">
        <v>1534143</v>
      </c>
      <c r="S1227">
        <v>5500943</v>
      </c>
      <c r="T1227">
        <v>5501212</v>
      </c>
      <c r="U1227">
        <v>0</v>
      </c>
      <c r="V1227">
        <v>0</v>
      </c>
      <c r="W1227">
        <v>0</v>
      </c>
      <c r="X1227">
        <v>0</v>
      </c>
      <c r="Y1227">
        <v>17826738</v>
      </c>
      <c r="Z1227">
        <v>17970331</v>
      </c>
      <c r="AA1227">
        <f t="shared" si="39"/>
        <v>12780</v>
      </c>
      <c r="AB1227">
        <f t="shared" si="38"/>
        <v>0.84003620437725912</v>
      </c>
    </row>
    <row r="1228" spans="1:28">
      <c r="A1228" t="s">
        <v>45</v>
      </c>
      <c r="B1228" s="2">
        <v>46113</v>
      </c>
      <c r="C1228" s="2">
        <v>46082</v>
      </c>
      <c r="D1228" s="2">
        <v>46168</v>
      </c>
      <c r="E1228">
        <v>35559613</v>
      </c>
      <c r="F1228">
        <v>35619021</v>
      </c>
      <c r="G1228">
        <v>59408</v>
      </c>
      <c r="H1228">
        <v>91.44</v>
      </c>
      <c r="I1228">
        <v>390000</v>
      </c>
      <c r="J1228" t="s">
        <v>51</v>
      </c>
      <c r="K1228">
        <v>0.39</v>
      </c>
      <c r="L1228">
        <v>0.39</v>
      </c>
      <c r="M1228">
        <v>14145393</v>
      </c>
      <c r="N1228">
        <v>14180852</v>
      </c>
      <c r="O1228">
        <v>5</v>
      </c>
      <c r="P1228">
        <v>5</v>
      </c>
      <c r="Q1228">
        <v>5633877</v>
      </c>
      <c r="R1228">
        <v>5641873</v>
      </c>
      <c r="S1228">
        <v>4098495</v>
      </c>
      <c r="T1228">
        <v>4103016</v>
      </c>
      <c r="U1228">
        <v>0</v>
      </c>
      <c r="V1228">
        <v>0</v>
      </c>
      <c r="W1228">
        <v>0</v>
      </c>
      <c r="X1228">
        <v>0</v>
      </c>
      <c r="Y1228">
        <v>11681843</v>
      </c>
      <c r="Z1228">
        <v>11693275</v>
      </c>
      <c r="AA1228">
        <f t="shared" si="39"/>
        <v>7996</v>
      </c>
      <c r="AB1228">
        <f t="shared" si="38"/>
        <v>0.14192713117450026</v>
      </c>
    </row>
    <row r="1229" spans="1:28">
      <c r="A1229" t="s">
        <v>46</v>
      </c>
      <c r="B1229" s="2">
        <v>46113</v>
      </c>
      <c r="C1229" s="2">
        <v>46082</v>
      </c>
      <c r="D1229" s="2">
        <v>46168</v>
      </c>
      <c r="E1229">
        <v>67781759</v>
      </c>
      <c r="F1229">
        <v>68028536</v>
      </c>
      <c r="G1229">
        <v>246777</v>
      </c>
      <c r="H1229">
        <v>91.95</v>
      </c>
      <c r="I1229">
        <v>790000</v>
      </c>
      <c r="J1229" t="s">
        <v>51</v>
      </c>
      <c r="K1229">
        <v>0.75</v>
      </c>
      <c r="L1229">
        <v>0.79</v>
      </c>
      <c r="M1229">
        <v>25919581</v>
      </c>
      <c r="N1229">
        <v>26113715</v>
      </c>
      <c r="O1229">
        <v>36</v>
      </c>
      <c r="P1229">
        <v>35</v>
      </c>
      <c r="Q1229">
        <v>8381177</v>
      </c>
      <c r="R1229">
        <v>8314223</v>
      </c>
      <c r="S1229">
        <v>5739342</v>
      </c>
      <c r="T1229">
        <v>5742178</v>
      </c>
      <c r="U1229">
        <v>0</v>
      </c>
      <c r="V1229">
        <v>0</v>
      </c>
      <c r="W1229">
        <v>0</v>
      </c>
      <c r="X1229">
        <v>0</v>
      </c>
      <c r="Y1229">
        <v>27741623</v>
      </c>
      <c r="Z1229">
        <v>27858385</v>
      </c>
      <c r="AA1229">
        <f t="shared" si="39"/>
        <v>-66954</v>
      </c>
      <c r="AB1229">
        <f t="shared" si="38"/>
        <v>-0.79886154414827415</v>
      </c>
    </row>
    <row r="1230" spans="1:28">
      <c r="A1230" t="s">
        <v>47</v>
      </c>
      <c r="B1230" s="2">
        <v>46113</v>
      </c>
      <c r="C1230" s="2">
        <v>46082</v>
      </c>
      <c r="D1230" s="2">
        <v>46168</v>
      </c>
      <c r="E1230">
        <v>80513966</v>
      </c>
      <c r="F1230">
        <v>80620143</v>
      </c>
      <c r="G1230">
        <v>106177</v>
      </c>
      <c r="H1230">
        <v>79.180000000000007</v>
      </c>
      <c r="I1230">
        <v>520000</v>
      </c>
      <c r="J1230" t="s">
        <v>51</v>
      </c>
      <c r="K1230">
        <v>0.63</v>
      </c>
      <c r="L1230">
        <v>0.52</v>
      </c>
      <c r="M1230">
        <v>33196496</v>
      </c>
      <c r="N1230">
        <v>33322607</v>
      </c>
      <c r="O1230">
        <v>0</v>
      </c>
      <c r="P1230">
        <v>0</v>
      </c>
      <c r="Q1230">
        <v>14319339</v>
      </c>
      <c r="R1230">
        <v>14302284</v>
      </c>
      <c r="S1230">
        <v>7982319</v>
      </c>
      <c r="T1230">
        <v>7947847</v>
      </c>
      <c r="U1230">
        <v>0</v>
      </c>
      <c r="V1230">
        <v>0</v>
      </c>
      <c r="W1230">
        <v>0</v>
      </c>
      <c r="X1230">
        <v>0</v>
      </c>
      <c r="Y1230">
        <v>25015812</v>
      </c>
      <c r="Z1230">
        <v>25047405</v>
      </c>
      <c r="AA1230">
        <f t="shared" si="39"/>
        <v>-17055</v>
      </c>
      <c r="AB1230">
        <f t="shared" si="38"/>
        <v>-0.11910465978911458</v>
      </c>
    </row>
    <row r="1231" spans="1:28">
      <c r="A1231" t="s">
        <v>48</v>
      </c>
      <c r="B1231" s="2">
        <v>46113</v>
      </c>
      <c r="C1231" s="2">
        <v>46082</v>
      </c>
      <c r="D1231" s="2">
        <v>46168</v>
      </c>
      <c r="E1231">
        <v>109531696</v>
      </c>
      <c r="F1231">
        <v>110374158</v>
      </c>
      <c r="G1231">
        <v>842462</v>
      </c>
      <c r="H1231">
        <v>90.06</v>
      </c>
      <c r="I1231">
        <v>2140000</v>
      </c>
      <c r="J1231" t="s">
        <v>51</v>
      </c>
      <c r="K1231">
        <v>2.14</v>
      </c>
      <c r="L1231">
        <v>2.14</v>
      </c>
      <c r="M1231">
        <v>41112752</v>
      </c>
      <c r="N1231">
        <v>41356367</v>
      </c>
      <c r="O1231">
        <v>0</v>
      </c>
      <c r="P1231">
        <v>0</v>
      </c>
      <c r="Q1231">
        <v>15881819</v>
      </c>
      <c r="R1231">
        <v>16081714</v>
      </c>
      <c r="S1231">
        <v>8460976</v>
      </c>
      <c r="T1231">
        <v>8455120</v>
      </c>
      <c r="U1231">
        <v>0</v>
      </c>
      <c r="V1231">
        <v>0</v>
      </c>
      <c r="W1231">
        <v>0</v>
      </c>
      <c r="X1231">
        <v>0</v>
      </c>
      <c r="Y1231">
        <v>44076149</v>
      </c>
      <c r="Z1231">
        <v>44480957</v>
      </c>
      <c r="AA1231">
        <f t="shared" si="39"/>
        <v>199895</v>
      </c>
      <c r="AB1231">
        <f t="shared" si="38"/>
        <v>1.2586404617758205</v>
      </c>
    </row>
    <row r="1232" spans="1:28">
      <c r="A1232" t="s">
        <v>49</v>
      </c>
      <c r="B1232" s="2">
        <v>46113</v>
      </c>
      <c r="C1232" s="2">
        <v>46082</v>
      </c>
      <c r="D1232" s="2">
        <v>46168</v>
      </c>
      <c r="E1232">
        <v>66242031</v>
      </c>
      <c r="F1232">
        <v>66655338</v>
      </c>
      <c r="G1232">
        <v>413307</v>
      </c>
      <c r="H1232">
        <v>93.93</v>
      </c>
      <c r="I1232">
        <v>1510000</v>
      </c>
      <c r="J1232" t="s">
        <v>51</v>
      </c>
      <c r="K1232">
        <v>1.49</v>
      </c>
      <c r="L1232">
        <v>1.51</v>
      </c>
      <c r="M1232">
        <v>22650740</v>
      </c>
      <c r="N1232">
        <v>23008979</v>
      </c>
      <c r="O1232">
        <v>0</v>
      </c>
      <c r="P1232">
        <v>0</v>
      </c>
      <c r="Q1232">
        <v>12486372</v>
      </c>
      <c r="R1232">
        <v>12413016</v>
      </c>
      <c r="S1232">
        <v>5178467</v>
      </c>
      <c r="T1232">
        <v>5163335</v>
      </c>
      <c r="U1232">
        <v>0</v>
      </c>
      <c r="V1232">
        <v>0</v>
      </c>
      <c r="W1232">
        <v>0</v>
      </c>
      <c r="X1232">
        <v>0</v>
      </c>
      <c r="Y1232">
        <v>25926452</v>
      </c>
      <c r="Z1232">
        <v>26070008</v>
      </c>
      <c r="AA1232">
        <f t="shared" si="39"/>
        <v>-73356</v>
      </c>
      <c r="AB1232">
        <f t="shared" si="38"/>
        <v>-0.58748850346601877</v>
      </c>
    </row>
    <row r="1233" spans="1:28">
      <c r="A1233" t="s">
        <v>50</v>
      </c>
      <c r="B1233" s="2">
        <v>46113</v>
      </c>
      <c r="C1233" s="2">
        <v>46082</v>
      </c>
      <c r="D1233" s="2">
        <v>46168</v>
      </c>
      <c r="E1233">
        <v>57861426</v>
      </c>
      <c r="F1233">
        <v>58016021</v>
      </c>
      <c r="G1233">
        <v>154595</v>
      </c>
      <c r="H1233">
        <v>96.07</v>
      </c>
      <c r="I1233">
        <v>1330000</v>
      </c>
      <c r="J1233" t="s">
        <v>51</v>
      </c>
      <c r="K1233">
        <v>1.26</v>
      </c>
      <c r="L1233">
        <v>1.33</v>
      </c>
      <c r="M1233">
        <v>18897474</v>
      </c>
      <c r="N1233">
        <v>18941712</v>
      </c>
      <c r="O1233">
        <v>4</v>
      </c>
      <c r="P1233">
        <v>1</v>
      </c>
      <c r="Q1233">
        <v>10290794</v>
      </c>
      <c r="R1233">
        <v>10237044</v>
      </c>
      <c r="S1233">
        <v>2644149</v>
      </c>
      <c r="T1233">
        <v>2643440</v>
      </c>
      <c r="U1233">
        <v>0</v>
      </c>
      <c r="V1233">
        <v>0</v>
      </c>
      <c r="W1233">
        <v>0</v>
      </c>
      <c r="X1233">
        <v>0</v>
      </c>
      <c r="Y1233">
        <v>26029005</v>
      </c>
      <c r="Z1233">
        <v>26193824</v>
      </c>
      <c r="AA1233">
        <f t="shared" si="39"/>
        <v>-53750</v>
      </c>
      <c r="AB1233">
        <f t="shared" si="38"/>
        <v>-0.52231149510912367</v>
      </c>
    </row>
    <row r="1234" spans="1:28">
      <c r="A1234" t="s">
        <v>28</v>
      </c>
      <c r="B1234" s="2">
        <v>46143</v>
      </c>
      <c r="C1234" s="2">
        <v>46113</v>
      </c>
      <c r="E1234">
        <v>87808488</v>
      </c>
      <c r="F1234">
        <v>87782790</v>
      </c>
      <c r="G1234">
        <v>-25698</v>
      </c>
      <c r="H1234">
        <v>94.56</v>
      </c>
      <c r="I1234">
        <v>590000</v>
      </c>
      <c r="J1234" t="s">
        <v>51</v>
      </c>
      <c r="K1234">
        <v>0.61</v>
      </c>
      <c r="L1234">
        <v>0.59</v>
      </c>
      <c r="M1234">
        <v>38970326</v>
      </c>
      <c r="N1234">
        <v>39092047</v>
      </c>
      <c r="O1234">
        <v>0</v>
      </c>
      <c r="P1234">
        <v>0</v>
      </c>
      <c r="Q1234">
        <v>8802096</v>
      </c>
      <c r="R1234">
        <v>8753635</v>
      </c>
      <c r="S1234">
        <v>7557962</v>
      </c>
      <c r="T1234">
        <v>7535550</v>
      </c>
      <c r="U1234">
        <v>0</v>
      </c>
      <c r="V1234">
        <v>0</v>
      </c>
      <c r="W1234">
        <v>0</v>
      </c>
      <c r="X1234">
        <v>0</v>
      </c>
      <c r="Y1234">
        <v>32478104</v>
      </c>
      <c r="Z1234">
        <v>32401558</v>
      </c>
      <c r="AA1234">
        <f t="shared" si="39"/>
        <v>-48461</v>
      </c>
      <c r="AB1234">
        <f t="shared" si="38"/>
        <v>-0.55056204794857955</v>
      </c>
    </row>
    <row r="1235" spans="1:28">
      <c r="A1235" t="s">
        <v>30</v>
      </c>
      <c r="B1235" s="2">
        <v>46143</v>
      </c>
      <c r="C1235" s="2">
        <v>46113</v>
      </c>
      <c r="E1235">
        <v>29364435</v>
      </c>
      <c r="F1235">
        <v>29462890</v>
      </c>
      <c r="G1235">
        <v>98455</v>
      </c>
      <c r="H1235">
        <v>88.28</v>
      </c>
      <c r="I1235">
        <v>140000</v>
      </c>
      <c r="J1235" t="s">
        <v>51</v>
      </c>
      <c r="K1235">
        <v>0.13</v>
      </c>
      <c r="L1235">
        <v>0.14000000000000001</v>
      </c>
      <c r="M1235">
        <v>14896478</v>
      </c>
      <c r="N1235">
        <v>14928274</v>
      </c>
      <c r="O1235">
        <v>0</v>
      </c>
      <c r="P1235">
        <v>0</v>
      </c>
      <c r="Q1235">
        <v>1485056</v>
      </c>
      <c r="R1235">
        <v>1497691</v>
      </c>
      <c r="S1235">
        <v>2922793</v>
      </c>
      <c r="T1235">
        <v>2917852</v>
      </c>
      <c r="U1235">
        <v>0</v>
      </c>
      <c r="V1235">
        <v>0</v>
      </c>
      <c r="W1235">
        <v>0</v>
      </c>
      <c r="X1235">
        <v>0</v>
      </c>
      <c r="Y1235">
        <v>10060108</v>
      </c>
      <c r="Z1235">
        <v>10119073</v>
      </c>
      <c r="AA1235">
        <f t="shared" si="39"/>
        <v>12635</v>
      </c>
      <c r="AB1235">
        <f t="shared" si="38"/>
        <v>0.85080966643682132</v>
      </c>
    </row>
    <row r="1236" spans="1:28">
      <c r="A1236" t="s">
        <v>31</v>
      </c>
      <c r="B1236" s="2">
        <v>46143</v>
      </c>
      <c r="C1236" s="2">
        <v>46113</v>
      </c>
      <c r="E1236">
        <v>107727074</v>
      </c>
      <c r="F1236">
        <v>108100907</v>
      </c>
      <c r="G1236">
        <v>373833</v>
      </c>
      <c r="H1236">
        <v>90.07</v>
      </c>
      <c r="I1236">
        <v>1410000</v>
      </c>
      <c r="J1236" t="s">
        <v>51</v>
      </c>
      <c r="K1236">
        <v>1.34</v>
      </c>
      <c r="L1236">
        <v>1.41</v>
      </c>
      <c r="M1236">
        <v>49517464</v>
      </c>
      <c r="N1236">
        <v>49720312</v>
      </c>
      <c r="O1236">
        <v>0</v>
      </c>
      <c r="P1236">
        <v>0</v>
      </c>
      <c r="Q1236">
        <v>7434457</v>
      </c>
      <c r="R1236">
        <v>7440735</v>
      </c>
      <c r="S1236">
        <v>5625714</v>
      </c>
      <c r="T1236">
        <v>5553265</v>
      </c>
      <c r="U1236">
        <v>0</v>
      </c>
      <c r="V1236">
        <v>0</v>
      </c>
      <c r="W1236">
        <v>0</v>
      </c>
      <c r="X1236">
        <v>0</v>
      </c>
      <c r="Y1236">
        <v>45149439</v>
      </c>
      <c r="Z1236">
        <v>45386595</v>
      </c>
      <c r="AA1236">
        <f t="shared" si="39"/>
        <v>6278</v>
      </c>
      <c r="AB1236">
        <f t="shared" si="38"/>
        <v>8.4444633952419121E-2</v>
      </c>
    </row>
    <row r="1237" spans="1:28">
      <c r="A1237" t="s">
        <v>32</v>
      </c>
      <c r="B1237" s="2">
        <v>46143</v>
      </c>
      <c r="C1237" s="2">
        <v>46113</v>
      </c>
      <c r="E1237">
        <v>76194241</v>
      </c>
      <c r="F1237">
        <v>76908704</v>
      </c>
      <c r="G1237">
        <v>714463</v>
      </c>
      <c r="H1237">
        <v>49.87</v>
      </c>
      <c r="I1237">
        <v>600000</v>
      </c>
      <c r="J1237" t="s">
        <v>51</v>
      </c>
      <c r="K1237">
        <v>0.63</v>
      </c>
      <c r="L1237">
        <v>0.6</v>
      </c>
      <c r="M1237">
        <v>39262547</v>
      </c>
      <c r="N1237">
        <v>39710860</v>
      </c>
      <c r="O1237">
        <v>2</v>
      </c>
      <c r="P1237">
        <v>2</v>
      </c>
      <c r="Q1237">
        <v>16189801</v>
      </c>
      <c r="R1237">
        <v>16408115</v>
      </c>
      <c r="S1237">
        <v>0</v>
      </c>
      <c r="T1237">
        <v>0</v>
      </c>
      <c r="U1237">
        <v>0</v>
      </c>
      <c r="V1237">
        <v>0</v>
      </c>
      <c r="W1237">
        <v>129207</v>
      </c>
      <c r="X1237">
        <v>127923</v>
      </c>
      <c r="Y1237">
        <v>20612684</v>
      </c>
      <c r="Z1237">
        <v>20661804</v>
      </c>
      <c r="AA1237">
        <f t="shared" si="39"/>
        <v>218314</v>
      </c>
      <c r="AB1237">
        <f t="shared" si="38"/>
        <v>1.3484662350080769</v>
      </c>
    </row>
    <row r="1238" spans="1:28">
      <c r="A1238" t="s">
        <v>33</v>
      </c>
      <c r="B1238" s="2">
        <v>46143</v>
      </c>
      <c r="C1238" s="2">
        <v>46113</v>
      </c>
      <c r="E1238">
        <v>71880639</v>
      </c>
      <c r="F1238">
        <v>72341246</v>
      </c>
      <c r="G1238">
        <v>460607</v>
      </c>
      <c r="H1238">
        <v>86.81</v>
      </c>
      <c r="I1238">
        <v>900000</v>
      </c>
      <c r="J1238" t="s">
        <v>51</v>
      </c>
      <c r="K1238">
        <v>1.01</v>
      </c>
      <c r="L1238">
        <v>0.9</v>
      </c>
      <c r="M1238">
        <v>15723878</v>
      </c>
      <c r="N1238">
        <v>15747678</v>
      </c>
      <c r="O1238">
        <v>1</v>
      </c>
      <c r="P1238">
        <v>1</v>
      </c>
      <c r="Q1238">
        <v>19729396</v>
      </c>
      <c r="R1238">
        <v>19896431</v>
      </c>
      <c r="S1238">
        <v>3295987</v>
      </c>
      <c r="T1238">
        <v>3299334</v>
      </c>
      <c r="U1238">
        <v>0</v>
      </c>
      <c r="V1238">
        <v>0</v>
      </c>
      <c r="W1238">
        <v>0</v>
      </c>
      <c r="X1238">
        <v>0</v>
      </c>
      <c r="Y1238">
        <v>33131377</v>
      </c>
      <c r="Z1238">
        <v>33397802</v>
      </c>
      <c r="AA1238">
        <f t="shared" si="39"/>
        <v>167035</v>
      </c>
      <c r="AB1238">
        <f t="shared" si="38"/>
        <v>0.84663007423035153</v>
      </c>
    </row>
    <row r="1239" spans="1:28">
      <c r="A1239" t="s">
        <v>34</v>
      </c>
      <c r="B1239" s="2">
        <v>46143</v>
      </c>
      <c r="C1239" s="2">
        <v>46113</v>
      </c>
      <c r="E1239">
        <v>26974295</v>
      </c>
      <c r="F1239">
        <v>26913532</v>
      </c>
      <c r="G1239">
        <v>-60763</v>
      </c>
      <c r="H1239">
        <v>91.46</v>
      </c>
      <c r="I1239">
        <v>400000</v>
      </c>
      <c r="J1239" t="s">
        <v>51</v>
      </c>
      <c r="K1239">
        <v>0.41</v>
      </c>
      <c r="L1239">
        <v>0.4</v>
      </c>
      <c r="M1239">
        <v>7887027</v>
      </c>
      <c r="N1239">
        <v>7908071</v>
      </c>
      <c r="O1239">
        <v>0</v>
      </c>
      <c r="P1239">
        <v>0</v>
      </c>
      <c r="Q1239">
        <v>6224074</v>
      </c>
      <c r="R1239">
        <v>6206028</v>
      </c>
      <c r="S1239">
        <v>4559710</v>
      </c>
      <c r="T1239">
        <v>4577770</v>
      </c>
      <c r="U1239">
        <v>0</v>
      </c>
      <c r="V1239">
        <v>0</v>
      </c>
      <c r="W1239">
        <v>0</v>
      </c>
      <c r="X1239">
        <v>0</v>
      </c>
      <c r="Y1239">
        <v>8303484</v>
      </c>
      <c r="Z1239">
        <v>8221663</v>
      </c>
      <c r="AA1239">
        <f t="shared" si="39"/>
        <v>-18046</v>
      </c>
      <c r="AB1239">
        <f t="shared" si="38"/>
        <v>-0.28993871216826794</v>
      </c>
    </row>
    <row r="1240" spans="1:28">
      <c r="A1240" t="s">
        <v>35</v>
      </c>
      <c r="B1240" s="2">
        <v>46143</v>
      </c>
      <c r="C1240" s="2">
        <v>46113</v>
      </c>
      <c r="E1240">
        <v>9392322</v>
      </c>
      <c r="F1240">
        <v>9401740</v>
      </c>
      <c r="G1240">
        <v>9418</v>
      </c>
      <c r="H1240">
        <v>102.61</v>
      </c>
      <c r="I1240">
        <v>50000</v>
      </c>
      <c r="J1240" t="s">
        <v>51</v>
      </c>
      <c r="K1240">
        <v>0.06</v>
      </c>
      <c r="L1240">
        <v>0.05</v>
      </c>
      <c r="M1240">
        <v>3637192</v>
      </c>
      <c r="N1240">
        <v>3624363</v>
      </c>
      <c r="O1240">
        <v>0</v>
      </c>
      <c r="P1240">
        <v>0</v>
      </c>
      <c r="Q1240">
        <v>396820</v>
      </c>
      <c r="R1240">
        <v>396159</v>
      </c>
      <c r="S1240">
        <v>1780772</v>
      </c>
      <c r="T1240">
        <v>1789147</v>
      </c>
      <c r="U1240">
        <v>0</v>
      </c>
      <c r="V1240">
        <v>0</v>
      </c>
      <c r="W1240">
        <v>0</v>
      </c>
      <c r="X1240">
        <v>0</v>
      </c>
      <c r="Y1240">
        <v>3577538</v>
      </c>
      <c r="Z1240">
        <v>3592071</v>
      </c>
      <c r="AA1240">
        <f t="shared" si="39"/>
        <v>-661</v>
      </c>
      <c r="AB1240">
        <f t="shared" si="38"/>
        <v>-0.16657426541000958</v>
      </c>
    </row>
    <row r="1241" spans="1:28">
      <c r="A1241" t="s">
        <v>36</v>
      </c>
      <c r="B1241" s="2">
        <v>46143</v>
      </c>
      <c r="C1241" s="2">
        <v>46113</v>
      </c>
      <c r="E1241">
        <v>13628920</v>
      </c>
      <c r="F1241">
        <v>13725489</v>
      </c>
      <c r="G1241">
        <v>96569</v>
      </c>
      <c r="H1241">
        <v>74.97</v>
      </c>
      <c r="I1241">
        <v>90000</v>
      </c>
      <c r="J1241" t="s">
        <v>51</v>
      </c>
      <c r="K1241">
        <v>0.09</v>
      </c>
      <c r="L1241">
        <v>0.09</v>
      </c>
      <c r="M1241">
        <v>6796765</v>
      </c>
      <c r="N1241">
        <v>6837398</v>
      </c>
      <c r="O1241">
        <v>0</v>
      </c>
      <c r="P1241">
        <v>0</v>
      </c>
      <c r="Q1241">
        <v>280908</v>
      </c>
      <c r="R1241">
        <v>284997</v>
      </c>
      <c r="S1241">
        <v>854884</v>
      </c>
      <c r="T1241">
        <v>854021</v>
      </c>
      <c r="U1241">
        <v>0</v>
      </c>
      <c r="V1241">
        <v>0</v>
      </c>
      <c r="W1241">
        <v>0</v>
      </c>
      <c r="X1241">
        <v>0</v>
      </c>
      <c r="Y1241">
        <v>5696363</v>
      </c>
      <c r="Z1241">
        <v>5749073</v>
      </c>
      <c r="AA1241">
        <f t="shared" si="39"/>
        <v>4089</v>
      </c>
      <c r="AB1241">
        <f t="shared" si="38"/>
        <v>1.4556367209193046</v>
      </c>
    </row>
    <row r="1242" spans="1:28">
      <c r="A1242" t="s">
        <v>37</v>
      </c>
      <c r="B1242" s="2">
        <v>46143</v>
      </c>
      <c r="C1242" s="2">
        <v>46113</v>
      </c>
      <c r="E1242">
        <v>83076417</v>
      </c>
      <c r="F1242">
        <v>83476020</v>
      </c>
      <c r="G1242">
        <v>399603</v>
      </c>
      <c r="H1242">
        <v>67.2</v>
      </c>
      <c r="I1242">
        <v>570000</v>
      </c>
      <c r="J1242" t="s">
        <v>51</v>
      </c>
      <c r="K1242">
        <v>0.54</v>
      </c>
      <c r="L1242">
        <v>0.56999999999999995</v>
      </c>
      <c r="M1242">
        <v>44269515</v>
      </c>
      <c r="N1242">
        <v>44450844</v>
      </c>
      <c r="O1242">
        <v>75</v>
      </c>
      <c r="P1242">
        <v>75</v>
      </c>
      <c r="Q1242">
        <v>7615960</v>
      </c>
      <c r="R1242">
        <v>7620337</v>
      </c>
      <c r="S1242">
        <v>4725412</v>
      </c>
      <c r="T1242">
        <v>4739380</v>
      </c>
      <c r="U1242">
        <v>0</v>
      </c>
      <c r="V1242">
        <v>0</v>
      </c>
      <c r="W1242">
        <v>0</v>
      </c>
      <c r="X1242">
        <v>0</v>
      </c>
      <c r="Y1242">
        <v>26465455</v>
      </c>
      <c r="Z1242">
        <v>26665384</v>
      </c>
      <c r="AA1242">
        <f t="shared" si="39"/>
        <v>4377</v>
      </c>
      <c r="AB1242">
        <f t="shared" si="38"/>
        <v>5.7471415291046699E-2</v>
      </c>
    </row>
    <row r="1243" spans="1:28">
      <c r="A1243" t="s">
        <v>38</v>
      </c>
      <c r="B1243" s="2">
        <v>46143</v>
      </c>
      <c r="C1243" s="2">
        <v>46113</v>
      </c>
      <c r="E1243">
        <v>42472747</v>
      </c>
      <c r="F1243">
        <v>42613608</v>
      </c>
      <c r="G1243">
        <v>140861</v>
      </c>
      <c r="H1243">
        <v>93.41</v>
      </c>
      <c r="I1243">
        <v>240000</v>
      </c>
      <c r="J1243" t="s">
        <v>51</v>
      </c>
      <c r="K1243">
        <v>0.23</v>
      </c>
      <c r="L1243">
        <v>0.24</v>
      </c>
      <c r="M1243">
        <v>9631490</v>
      </c>
      <c r="N1243">
        <v>9748800</v>
      </c>
      <c r="O1243">
        <v>3</v>
      </c>
      <c r="P1243">
        <v>3</v>
      </c>
      <c r="Q1243">
        <v>12764197</v>
      </c>
      <c r="R1243">
        <v>12750255</v>
      </c>
      <c r="S1243">
        <v>8961337</v>
      </c>
      <c r="T1243">
        <v>8970872</v>
      </c>
      <c r="U1243">
        <v>0</v>
      </c>
      <c r="V1243">
        <v>0</v>
      </c>
      <c r="W1243">
        <v>0</v>
      </c>
      <c r="X1243">
        <v>0</v>
      </c>
      <c r="Y1243">
        <v>11115720</v>
      </c>
      <c r="Z1243">
        <v>11143678</v>
      </c>
      <c r="AA1243">
        <f t="shared" si="39"/>
        <v>-13942</v>
      </c>
      <c r="AB1243">
        <f t="shared" si="38"/>
        <v>-0.10922739597328372</v>
      </c>
    </row>
    <row r="1244" spans="1:28">
      <c r="A1244" t="s">
        <v>39</v>
      </c>
      <c r="B1244" s="2">
        <v>46143</v>
      </c>
      <c r="C1244" s="2">
        <v>46113</v>
      </c>
      <c r="E1244">
        <v>23064047</v>
      </c>
      <c r="F1244">
        <v>23090712</v>
      </c>
      <c r="G1244">
        <v>26665</v>
      </c>
      <c r="H1244">
        <v>85.55</v>
      </c>
      <c r="I1244">
        <v>190000</v>
      </c>
      <c r="J1244" t="s">
        <v>51</v>
      </c>
      <c r="K1244">
        <v>0.18</v>
      </c>
      <c r="L1244">
        <v>0.19</v>
      </c>
      <c r="M1244">
        <v>5981811</v>
      </c>
      <c r="N1244">
        <v>6020324</v>
      </c>
      <c r="O1244">
        <v>0</v>
      </c>
      <c r="P1244">
        <v>0</v>
      </c>
      <c r="Q1244">
        <v>4568463</v>
      </c>
      <c r="R1244">
        <v>4542132</v>
      </c>
      <c r="S1244">
        <v>1426037</v>
      </c>
      <c r="T1244">
        <v>1427641</v>
      </c>
      <c r="U1244">
        <v>0</v>
      </c>
      <c r="V1244">
        <v>0</v>
      </c>
      <c r="W1244">
        <v>0</v>
      </c>
      <c r="X1244">
        <v>0</v>
      </c>
      <c r="Y1244">
        <v>11087736</v>
      </c>
      <c r="Z1244">
        <v>11100615</v>
      </c>
      <c r="AA1244">
        <f t="shared" si="39"/>
        <v>-26331</v>
      </c>
      <c r="AB1244">
        <f t="shared" si="38"/>
        <v>-0.57636452347321188</v>
      </c>
    </row>
    <row r="1245" spans="1:28">
      <c r="A1245" t="s">
        <v>40</v>
      </c>
      <c r="B1245" s="2">
        <v>46143</v>
      </c>
      <c r="C1245" s="2">
        <v>46113</v>
      </c>
      <c r="E1245">
        <v>86002327</v>
      </c>
      <c r="F1245">
        <v>86404953</v>
      </c>
      <c r="G1245">
        <v>402626</v>
      </c>
      <c r="H1245">
        <v>88.15</v>
      </c>
      <c r="I1245">
        <v>1370000</v>
      </c>
      <c r="J1245" t="s">
        <v>51</v>
      </c>
      <c r="K1245">
        <v>1.34</v>
      </c>
      <c r="L1245">
        <v>1.37</v>
      </c>
      <c r="M1245">
        <v>18400729</v>
      </c>
      <c r="N1245">
        <v>18558123</v>
      </c>
      <c r="O1245">
        <v>0</v>
      </c>
      <c r="P1245">
        <v>0</v>
      </c>
      <c r="Q1245">
        <v>12507611</v>
      </c>
      <c r="R1245">
        <v>12441469</v>
      </c>
      <c r="S1245">
        <v>5140116</v>
      </c>
      <c r="T1245">
        <v>5132545</v>
      </c>
      <c r="U1245">
        <v>0</v>
      </c>
      <c r="V1245">
        <v>0</v>
      </c>
      <c r="W1245">
        <v>0</v>
      </c>
      <c r="X1245">
        <v>0</v>
      </c>
      <c r="Y1245">
        <v>49953871</v>
      </c>
      <c r="Z1245">
        <v>50272816</v>
      </c>
      <c r="AA1245">
        <f t="shared" si="39"/>
        <v>-66142</v>
      </c>
      <c r="AB1245">
        <f t="shared" si="38"/>
        <v>-0.52881401572210718</v>
      </c>
    </row>
    <row r="1246" spans="1:28">
      <c r="A1246" t="s">
        <v>41</v>
      </c>
      <c r="B1246" s="2">
        <v>46143</v>
      </c>
      <c r="C1246" s="2">
        <v>46113</v>
      </c>
      <c r="E1246">
        <v>102866747</v>
      </c>
      <c r="F1246">
        <v>103554406</v>
      </c>
      <c r="G1246">
        <v>687659</v>
      </c>
      <c r="H1246">
        <v>92.89</v>
      </c>
      <c r="I1246">
        <v>870000</v>
      </c>
      <c r="J1246" t="s">
        <v>51</v>
      </c>
      <c r="K1246">
        <v>0.97</v>
      </c>
      <c r="L1246">
        <v>0.87</v>
      </c>
      <c r="M1246">
        <v>32726341</v>
      </c>
      <c r="N1246">
        <v>33220613</v>
      </c>
      <c r="O1246">
        <v>0</v>
      </c>
      <c r="P1246">
        <v>0</v>
      </c>
      <c r="Q1246">
        <v>20597024</v>
      </c>
      <c r="R1246">
        <v>20581895</v>
      </c>
      <c r="S1246">
        <v>5316718</v>
      </c>
      <c r="T1246">
        <v>5284267</v>
      </c>
      <c r="U1246">
        <v>0</v>
      </c>
      <c r="V1246">
        <v>0</v>
      </c>
      <c r="W1246">
        <v>0</v>
      </c>
      <c r="X1246">
        <v>0</v>
      </c>
      <c r="Y1246">
        <v>44226664</v>
      </c>
      <c r="Z1246">
        <v>44467631</v>
      </c>
      <c r="AA1246">
        <f t="shared" si="39"/>
        <v>-15129</v>
      </c>
      <c r="AB1246">
        <f t="shared" si="38"/>
        <v>-7.3452358942728821E-2</v>
      </c>
    </row>
    <row r="1247" spans="1:28">
      <c r="A1247" t="s">
        <v>42</v>
      </c>
      <c r="B1247" s="2">
        <v>46143</v>
      </c>
      <c r="C1247" s="2">
        <v>46113</v>
      </c>
      <c r="E1247">
        <v>40379468</v>
      </c>
      <c r="F1247">
        <v>40311977</v>
      </c>
      <c r="G1247">
        <v>-67491</v>
      </c>
      <c r="H1247">
        <v>64.52</v>
      </c>
      <c r="I1247">
        <v>220000</v>
      </c>
      <c r="J1247" t="s">
        <v>51</v>
      </c>
      <c r="K1247">
        <v>0.26</v>
      </c>
      <c r="L1247">
        <v>0.22</v>
      </c>
      <c r="M1247">
        <v>16078527</v>
      </c>
      <c r="N1247">
        <v>16206457</v>
      </c>
      <c r="O1247">
        <v>40</v>
      </c>
      <c r="P1247">
        <v>40</v>
      </c>
      <c r="Q1247">
        <v>10821735</v>
      </c>
      <c r="R1247">
        <v>10712900</v>
      </c>
      <c r="S1247">
        <v>0</v>
      </c>
      <c r="T1247">
        <v>0</v>
      </c>
      <c r="U1247">
        <v>0</v>
      </c>
      <c r="V1247">
        <v>0</v>
      </c>
      <c r="W1247">
        <v>52357</v>
      </c>
      <c r="X1247">
        <v>49838</v>
      </c>
      <c r="Y1247">
        <v>13426809</v>
      </c>
      <c r="Z1247">
        <v>13342742</v>
      </c>
      <c r="AA1247">
        <f t="shared" si="39"/>
        <v>-108835</v>
      </c>
      <c r="AB1247">
        <f t="shared" si="38"/>
        <v>-1.0057074951474971</v>
      </c>
    </row>
    <row r="1248" spans="1:28">
      <c r="A1248" t="s">
        <v>43</v>
      </c>
      <c r="B1248" s="2">
        <v>46143</v>
      </c>
      <c r="C1248" s="2">
        <v>46113</v>
      </c>
      <c r="E1248">
        <v>13348323</v>
      </c>
      <c r="F1248">
        <v>13375953</v>
      </c>
      <c r="G1248">
        <v>27630</v>
      </c>
      <c r="H1248">
        <v>96.35</v>
      </c>
      <c r="I1248">
        <v>50000</v>
      </c>
      <c r="J1248" t="s">
        <v>51</v>
      </c>
      <c r="K1248">
        <v>0.04</v>
      </c>
      <c r="L1248">
        <v>0.05</v>
      </c>
      <c r="M1248">
        <v>6773477</v>
      </c>
      <c r="N1248">
        <v>6789479</v>
      </c>
      <c r="O1248">
        <v>0</v>
      </c>
      <c r="P1248">
        <v>0</v>
      </c>
      <c r="Q1248">
        <v>596157</v>
      </c>
      <c r="R1248">
        <v>597071</v>
      </c>
      <c r="S1248">
        <v>1296058</v>
      </c>
      <c r="T1248">
        <v>1296289</v>
      </c>
      <c r="U1248">
        <v>0</v>
      </c>
      <c r="V1248">
        <v>0</v>
      </c>
      <c r="W1248">
        <v>0</v>
      </c>
      <c r="X1248">
        <v>0</v>
      </c>
      <c r="Y1248">
        <v>4682631</v>
      </c>
      <c r="Z1248">
        <v>4693114</v>
      </c>
      <c r="AA1248">
        <f t="shared" si="39"/>
        <v>914</v>
      </c>
      <c r="AB1248">
        <f t="shared" si="38"/>
        <v>0.15331531794476957</v>
      </c>
    </row>
    <row r="1249" spans="1:28">
      <c r="A1249" t="s">
        <v>44</v>
      </c>
      <c r="B1249" s="2">
        <v>46143</v>
      </c>
      <c r="C1249" s="2">
        <v>46113</v>
      </c>
      <c r="E1249">
        <v>38410961</v>
      </c>
      <c r="F1249">
        <v>38460022</v>
      </c>
      <c r="G1249">
        <v>49061</v>
      </c>
      <c r="H1249">
        <v>86.52</v>
      </c>
      <c r="I1249">
        <v>250000</v>
      </c>
      <c r="J1249" t="s">
        <v>51</v>
      </c>
      <c r="K1249">
        <v>0.24</v>
      </c>
      <c r="L1249">
        <v>0.25</v>
      </c>
      <c r="M1249">
        <v>13405275</v>
      </c>
      <c r="N1249">
        <v>13370540</v>
      </c>
      <c r="O1249">
        <v>0</v>
      </c>
      <c r="P1249">
        <v>0</v>
      </c>
      <c r="Q1249">
        <v>1534143</v>
      </c>
      <c r="R1249">
        <v>1525249</v>
      </c>
      <c r="S1249">
        <v>5501212</v>
      </c>
      <c r="T1249">
        <v>5499804</v>
      </c>
      <c r="U1249">
        <v>0</v>
      </c>
      <c r="V1249">
        <v>0</v>
      </c>
      <c r="W1249">
        <v>0</v>
      </c>
      <c r="X1249">
        <v>0</v>
      </c>
      <c r="Y1249">
        <v>17970331</v>
      </c>
      <c r="Z1249">
        <v>18064429</v>
      </c>
      <c r="AA1249">
        <f t="shared" si="39"/>
        <v>-8894</v>
      </c>
      <c r="AB1249">
        <f t="shared" si="38"/>
        <v>-0.57973735173318264</v>
      </c>
    </row>
    <row r="1250" spans="1:28">
      <c r="A1250" t="s">
        <v>45</v>
      </c>
      <c r="B1250" s="2">
        <v>46143</v>
      </c>
      <c r="C1250" s="2">
        <v>46113</v>
      </c>
      <c r="E1250">
        <v>35619021</v>
      </c>
      <c r="F1250">
        <v>35566242</v>
      </c>
      <c r="G1250">
        <v>-52779</v>
      </c>
      <c r="H1250">
        <v>90.79</v>
      </c>
      <c r="I1250">
        <v>360000</v>
      </c>
      <c r="J1250" t="s">
        <v>51</v>
      </c>
      <c r="K1250">
        <v>0.39</v>
      </c>
      <c r="L1250">
        <v>0.36</v>
      </c>
      <c r="M1250">
        <v>14180852</v>
      </c>
      <c r="N1250">
        <v>14089157</v>
      </c>
      <c r="O1250">
        <v>5</v>
      </c>
      <c r="P1250">
        <v>5</v>
      </c>
      <c r="Q1250">
        <v>5641873</v>
      </c>
      <c r="R1250">
        <v>5617168</v>
      </c>
      <c r="S1250">
        <v>4103016</v>
      </c>
      <c r="T1250">
        <v>4104876</v>
      </c>
      <c r="U1250">
        <v>0</v>
      </c>
      <c r="V1250">
        <v>0</v>
      </c>
      <c r="W1250">
        <v>0</v>
      </c>
      <c r="X1250">
        <v>0</v>
      </c>
      <c r="Y1250">
        <v>11693275</v>
      </c>
      <c r="Z1250">
        <v>11755036</v>
      </c>
      <c r="AA1250">
        <f t="shared" si="39"/>
        <v>-24705</v>
      </c>
      <c r="AB1250">
        <f t="shared" si="38"/>
        <v>-0.43788649620436337</v>
      </c>
    </row>
    <row r="1251" spans="1:28">
      <c r="A1251" t="s">
        <v>46</v>
      </c>
      <c r="B1251" s="2">
        <v>46143</v>
      </c>
      <c r="C1251" s="2">
        <v>46113</v>
      </c>
      <c r="E1251">
        <v>68028536</v>
      </c>
      <c r="F1251">
        <v>68305192</v>
      </c>
      <c r="G1251">
        <v>276656</v>
      </c>
      <c r="H1251">
        <v>91.91</v>
      </c>
      <c r="I1251">
        <v>760000</v>
      </c>
      <c r="J1251" t="s">
        <v>51</v>
      </c>
      <c r="K1251">
        <v>0.79</v>
      </c>
      <c r="L1251">
        <v>0.76</v>
      </c>
      <c r="M1251">
        <v>26113715</v>
      </c>
      <c r="N1251">
        <v>26261236</v>
      </c>
      <c r="O1251">
        <v>35</v>
      </c>
      <c r="P1251">
        <v>35</v>
      </c>
      <c r="Q1251">
        <v>8314223</v>
      </c>
      <c r="R1251">
        <v>8212020</v>
      </c>
      <c r="S1251">
        <v>5742178</v>
      </c>
      <c r="T1251">
        <v>5757236</v>
      </c>
      <c r="U1251">
        <v>0</v>
      </c>
      <c r="V1251">
        <v>0</v>
      </c>
      <c r="W1251">
        <v>0</v>
      </c>
      <c r="X1251">
        <v>0</v>
      </c>
      <c r="Y1251">
        <v>27858385</v>
      </c>
      <c r="Z1251">
        <v>28074665</v>
      </c>
      <c r="AA1251">
        <f t="shared" si="39"/>
        <v>-102203</v>
      </c>
      <c r="AB1251">
        <f t="shared" si="38"/>
        <v>-1.2292549766827279</v>
      </c>
    </row>
    <row r="1252" spans="1:28">
      <c r="A1252" t="s">
        <v>47</v>
      </c>
      <c r="B1252" s="2">
        <v>46143</v>
      </c>
      <c r="C1252" s="2">
        <v>46113</v>
      </c>
      <c r="E1252">
        <v>80620143</v>
      </c>
      <c r="F1252">
        <v>80617230</v>
      </c>
      <c r="G1252">
        <v>-2913</v>
      </c>
      <c r="H1252">
        <v>79.069999999999993</v>
      </c>
      <c r="I1252">
        <v>510000</v>
      </c>
      <c r="J1252" t="s">
        <v>51</v>
      </c>
      <c r="K1252">
        <v>0.52</v>
      </c>
      <c r="L1252">
        <v>0.51</v>
      </c>
      <c r="M1252">
        <v>33322607</v>
      </c>
      <c r="N1252">
        <v>33412949</v>
      </c>
      <c r="O1252">
        <v>0</v>
      </c>
      <c r="P1252">
        <v>0</v>
      </c>
      <c r="Q1252">
        <v>14302284</v>
      </c>
      <c r="R1252">
        <v>14201784</v>
      </c>
      <c r="S1252">
        <v>7947847</v>
      </c>
      <c r="T1252">
        <v>7906366</v>
      </c>
      <c r="U1252">
        <v>0</v>
      </c>
      <c r="V1252">
        <v>0</v>
      </c>
      <c r="W1252">
        <v>0</v>
      </c>
      <c r="X1252">
        <v>0</v>
      </c>
      <c r="Y1252">
        <v>25047405</v>
      </c>
      <c r="Z1252">
        <v>25096131</v>
      </c>
      <c r="AA1252">
        <f t="shared" si="39"/>
        <v>-100500</v>
      </c>
      <c r="AB1252">
        <f t="shared" si="38"/>
        <v>-0.7026849697572779</v>
      </c>
    </row>
    <row r="1253" spans="1:28">
      <c r="A1253" t="s">
        <v>48</v>
      </c>
      <c r="B1253" s="2">
        <v>46143</v>
      </c>
      <c r="C1253" s="2">
        <v>46113</v>
      </c>
      <c r="E1253">
        <v>110374158</v>
      </c>
      <c r="F1253">
        <v>111198495</v>
      </c>
      <c r="G1253">
        <v>824337</v>
      </c>
      <c r="H1253">
        <v>88.89</v>
      </c>
      <c r="I1253">
        <v>2060000</v>
      </c>
      <c r="J1253" t="s">
        <v>51</v>
      </c>
      <c r="K1253">
        <v>2.14</v>
      </c>
      <c r="L1253">
        <v>2.06</v>
      </c>
      <c r="M1253">
        <v>41356367</v>
      </c>
      <c r="N1253">
        <v>41649868</v>
      </c>
      <c r="O1253">
        <v>0</v>
      </c>
      <c r="P1253">
        <v>0</v>
      </c>
      <c r="Q1253">
        <v>16081714</v>
      </c>
      <c r="R1253">
        <v>16403959</v>
      </c>
      <c r="S1253">
        <v>8455120</v>
      </c>
      <c r="T1253">
        <v>8457382</v>
      </c>
      <c r="U1253">
        <v>0</v>
      </c>
      <c r="V1253">
        <v>0</v>
      </c>
      <c r="W1253">
        <v>0</v>
      </c>
      <c r="X1253">
        <v>0</v>
      </c>
      <c r="Y1253">
        <v>44480957</v>
      </c>
      <c r="Z1253">
        <v>44687286</v>
      </c>
      <c r="AA1253">
        <f t="shared" si="39"/>
        <v>322245</v>
      </c>
      <c r="AB1253">
        <f t="shared" si="38"/>
        <v>2.0037976051557687</v>
      </c>
    </row>
    <row r="1254" spans="1:28">
      <c r="A1254" t="s">
        <v>49</v>
      </c>
      <c r="B1254" s="2">
        <v>46143</v>
      </c>
      <c r="C1254" s="2">
        <v>46113</v>
      </c>
      <c r="E1254">
        <v>66655338</v>
      </c>
      <c r="F1254">
        <v>66939370</v>
      </c>
      <c r="G1254">
        <v>284032</v>
      </c>
      <c r="H1254">
        <v>94.01</v>
      </c>
      <c r="I1254">
        <v>1490000</v>
      </c>
      <c r="J1254" t="s">
        <v>51</v>
      </c>
      <c r="K1254">
        <v>1.51</v>
      </c>
      <c r="L1254">
        <v>1.49</v>
      </c>
      <c r="M1254">
        <v>23008979</v>
      </c>
      <c r="N1254">
        <v>23203685</v>
      </c>
      <c r="O1254">
        <v>0</v>
      </c>
      <c r="P1254">
        <v>0</v>
      </c>
      <c r="Q1254">
        <v>12413016</v>
      </c>
      <c r="R1254">
        <v>12358584</v>
      </c>
      <c r="S1254">
        <v>5163335</v>
      </c>
      <c r="T1254">
        <v>5169858</v>
      </c>
      <c r="U1254">
        <v>0</v>
      </c>
      <c r="V1254">
        <v>0</v>
      </c>
      <c r="W1254">
        <v>0</v>
      </c>
      <c r="X1254">
        <v>0</v>
      </c>
      <c r="Y1254">
        <v>26070008</v>
      </c>
      <c r="Z1254">
        <v>26207243</v>
      </c>
      <c r="AA1254">
        <f t="shared" si="39"/>
        <v>-54432</v>
      </c>
      <c r="AB1254">
        <f t="shared" si="38"/>
        <v>-0.4385074505664055</v>
      </c>
    </row>
    <row r="1255" spans="1:28">
      <c r="A1255" t="s">
        <v>50</v>
      </c>
      <c r="B1255" s="2">
        <v>46143</v>
      </c>
      <c r="C1255" s="2">
        <v>46113</v>
      </c>
      <c r="E1255">
        <v>58016021</v>
      </c>
      <c r="F1255">
        <v>58447391</v>
      </c>
      <c r="G1255">
        <v>431370</v>
      </c>
      <c r="H1255">
        <v>95.44</v>
      </c>
      <c r="I1255">
        <v>1350000</v>
      </c>
      <c r="J1255" t="s">
        <v>51</v>
      </c>
      <c r="K1255">
        <v>1.33</v>
      </c>
      <c r="L1255">
        <v>1.35</v>
      </c>
      <c r="M1255">
        <v>18941712</v>
      </c>
      <c r="N1255">
        <v>19258903</v>
      </c>
      <c r="O1255">
        <v>1</v>
      </c>
      <c r="P1255">
        <v>1</v>
      </c>
      <c r="Q1255">
        <v>10237044</v>
      </c>
      <c r="R1255">
        <v>10210727</v>
      </c>
      <c r="S1255">
        <v>2643440</v>
      </c>
      <c r="T1255">
        <v>2641533</v>
      </c>
      <c r="U1255">
        <v>0</v>
      </c>
      <c r="V1255">
        <v>0</v>
      </c>
      <c r="W1255">
        <v>0</v>
      </c>
      <c r="X1255">
        <v>0</v>
      </c>
      <c r="Y1255">
        <v>26193824</v>
      </c>
      <c r="Z1255">
        <v>26336227</v>
      </c>
      <c r="AA1255">
        <f t="shared" si="39"/>
        <v>-26317</v>
      </c>
      <c r="AB1255">
        <f t="shared" si="38"/>
        <v>-0.25707616378321713</v>
      </c>
    </row>
    <row r="1256" spans="1:28">
      <c r="A1256" t="s">
        <v>28</v>
      </c>
      <c r="B1256" s="2">
        <v>46174</v>
      </c>
      <c r="C1256" s="2">
        <v>46143</v>
      </c>
      <c r="D1256" s="2">
        <v>46231</v>
      </c>
      <c r="E1256">
        <v>87782790</v>
      </c>
      <c r="F1256">
        <v>88299361</v>
      </c>
      <c r="G1256">
        <v>516571</v>
      </c>
      <c r="H1256">
        <v>95.14</v>
      </c>
      <c r="I1256">
        <v>610000</v>
      </c>
      <c r="J1256" t="s">
        <v>51</v>
      </c>
      <c r="K1256">
        <v>0.59</v>
      </c>
      <c r="L1256">
        <v>0.61</v>
      </c>
      <c r="M1256">
        <v>39092047</v>
      </c>
      <c r="N1256">
        <v>39412884</v>
      </c>
      <c r="O1256">
        <v>0</v>
      </c>
      <c r="P1256">
        <v>0</v>
      </c>
      <c r="Q1256">
        <v>8753635</v>
      </c>
      <c r="R1256">
        <v>8729360</v>
      </c>
      <c r="S1256">
        <v>7535550</v>
      </c>
      <c r="T1256">
        <v>7577013</v>
      </c>
      <c r="U1256">
        <v>0</v>
      </c>
      <c r="V1256">
        <v>0</v>
      </c>
      <c r="W1256">
        <v>0</v>
      </c>
      <c r="X1256">
        <v>0</v>
      </c>
      <c r="Y1256">
        <v>32401558</v>
      </c>
      <c r="Z1256">
        <v>32580104</v>
      </c>
      <c r="AA1256">
        <f t="shared" si="39"/>
        <v>-24275</v>
      </c>
      <c r="AB1256">
        <f t="shared" si="38"/>
        <v>-0.27731336753245939</v>
      </c>
    </row>
    <row r="1257" spans="1:28">
      <c r="A1257" t="s">
        <v>30</v>
      </c>
      <c r="B1257" s="2">
        <v>46174</v>
      </c>
      <c r="C1257" s="2">
        <v>46143</v>
      </c>
      <c r="D1257" s="2">
        <v>46231</v>
      </c>
      <c r="E1257">
        <v>29462890</v>
      </c>
      <c r="F1257">
        <v>29638556</v>
      </c>
      <c r="G1257">
        <v>175666</v>
      </c>
      <c r="H1257">
        <v>86.85</v>
      </c>
      <c r="I1257">
        <v>150000</v>
      </c>
      <c r="J1257" t="s">
        <v>51</v>
      </c>
      <c r="K1257">
        <v>0.14000000000000001</v>
      </c>
      <c r="L1257">
        <v>0.15</v>
      </c>
      <c r="M1257">
        <v>14928274</v>
      </c>
      <c r="N1257">
        <v>15052205</v>
      </c>
      <c r="O1257">
        <v>0</v>
      </c>
      <c r="P1257">
        <v>0</v>
      </c>
      <c r="Q1257">
        <v>1497691</v>
      </c>
      <c r="R1257">
        <v>1514448</v>
      </c>
      <c r="S1257">
        <v>2917852</v>
      </c>
      <c r="T1257">
        <v>2907824</v>
      </c>
      <c r="U1257">
        <v>0</v>
      </c>
      <c r="V1257">
        <v>0</v>
      </c>
      <c r="W1257">
        <v>0</v>
      </c>
      <c r="X1257">
        <v>0</v>
      </c>
      <c r="Y1257">
        <v>10119073</v>
      </c>
      <c r="Z1257">
        <v>10164079</v>
      </c>
      <c r="AA1257">
        <f t="shared" si="39"/>
        <v>16757</v>
      </c>
      <c r="AB1257">
        <f t="shared" si="38"/>
        <v>1.1188556250922252</v>
      </c>
    </row>
    <row r="1258" spans="1:28">
      <c r="A1258" t="s">
        <v>31</v>
      </c>
      <c r="B1258" s="2">
        <v>46174</v>
      </c>
      <c r="C1258" s="2">
        <v>46143</v>
      </c>
      <c r="D1258" s="2">
        <v>46231</v>
      </c>
      <c r="E1258">
        <v>108100907</v>
      </c>
      <c r="F1258">
        <v>108441928</v>
      </c>
      <c r="G1258">
        <v>341021</v>
      </c>
      <c r="H1258">
        <v>87.93</v>
      </c>
      <c r="I1258">
        <v>1360000</v>
      </c>
      <c r="J1258" t="s">
        <v>51</v>
      </c>
      <c r="K1258">
        <v>1.41</v>
      </c>
      <c r="L1258">
        <v>1.36</v>
      </c>
      <c r="M1258">
        <v>49720312</v>
      </c>
      <c r="N1258">
        <v>49856273</v>
      </c>
      <c r="O1258">
        <v>0</v>
      </c>
      <c r="P1258">
        <v>0</v>
      </c>
      <c r="Q1258">
        <v>7440735</v>
      </c>
      <c r="R1258">
        <v>7444371</v>
      </c>
      <c r="S1258">
        <v>5553265</v>
      </c>
      <c r="T1258">
        <v>5532703</v>
      </c>
      <c r="U1258">
        <v>0</v>
      </c>
      <c r="V1258">
        <v>0</v>
      </c>
      <c r="W1258">
        <v>0</v>
      </c>
      <c r="X1258">
        <v>0</v>
      </c>
      <c r="Y1258">
        <v>45386595</v>
      </c>
      <c r="Z1258">
        <v>45608581</v>
      </c>
      <c r="AA1258">
        <f t="shared" si="39"/>
        <v>3636</v>
      </c>
      <c r="AB1258">
        <f t="shared" si="38"/>
        <v>4.886614024017788E-2</v>
      </c>
    </row>
    <row r="1259" spans="1:28">
      <c r="A1259" t="s">
        <v>32</v>
      </c>
      <c r="B1259" s="2">
        <v>46174</v>
      </c>
      <c r="C1259" s="2">
        <v>46143</v>
      </c>
      <c r="D1259" s="2">
        <v>46231</v>
      </c>
      <c r="E1259">
        <v>76908704</v>
      </c>
      <c r="F1259">
        <v>77460205</v>
      </c>
      <c r="G1259">
        <v>551501</v>
      </c>
      <c r="H1259">
        <v>49.13</v>
      </c>
      <c r="I1259">
        <v>620000</v>
      </c>
      <c r="J1259" t="s">
        <v>51</v>
      </c>
      <c r="K1259">
        <v>0.6</v>
      </c>
      <c r="L1259">
        <v>0.62</v>
      </c>
      <c r="M1259">
        <v>39710860</v>
      </c>
      <c r="N1259">
        <v>40134446</v>
      </c>
      <c r="O1259">
        <v>2</v>
      </c>
      <c r="P1259">
        <v>2</v>
      </c>
      <c r="Q1259">
        <v>16408115</v>
      </c>
      <c r="R1259">
        <v>16460728</v>
      </c>
      <c r="S1259">
        <v>0</v>
      </c>
      <c r="T1259">
        <v>0</v>
      </c>
      <c r="U1259">
        <v>0</v>
      </c>
      <c r="V1259">
        <v>0</v>
      </c>
      <c r="W1259">
        <v>127923</v>
      </c>
      <c r="X1259">
        <v>124727</v>
      </c>
      <c r="Y1259">
        <v>20661804</v>
      </c>
      <c r="Z1259">
        <v>20740302</v>
      </c>
      <c r="AA1259">
        <f t="shared" si="39"/>
        <v>52613</v>
      </c>
      <c r="AB1259">
        <f t="shared" si="38"/>
        <v>0.32065231137153782</v>
      </c>
    </row>
    <row r="1260" spans="1:28">
      <c r="A1260" t="s">
        <v>33</v>
      </c>
      <c r="B1260" s="2">
        <v>46174</v>
      </c>
      <c r="C1260" s="2">
        <v>46143</v>
      </c>
      <c r="D1260" s="2">
        <v>46231</v>
      </c>
      <c r="E1260">
        <v>72341246</v>
      </c>
      <c r="F1260">
        <v>72701301</v>
      </c>
      <c r="G1260">
        <v>360055</v>
      </c>
      <c r="H1260">
        <v>87.64</v>
      </c>
      <c r="I1260">
        <v>950000</v>
      </c>
      <c r="J1260" t="s">
        <v>51</v>
      </c>
      <c r="K1260">
        <v>0.9</v>
      </c>
      <c r="L1260">
        <v>0.95</v>
      </c>
      <c r="M1260">
        <v>15747678</v>
      </c>
      <c r="N1260">
        <v>15838587</v>
      </c>
      <c r="O1260">
        <v>1</v>
      </c>
      <c r="P1260">
        <v>1</v>
      </c>
      <c r="Q1260">
        <v>19896431</v>
      </c>
      <c r="R1260">
        <v>20007766</v>
      </c>
      <c r="S1260">
        <v>3299334</v>
      </c>
      <c r="T1260">
        <v>3301492</v>
      </c>
      <c r="U1260">
        <v>0</v>
      </c>
      <c r="V1260">
        <v>0</v>
      </c>
      <c r="W1260">
        <v>0</v>
      </c>
      <c r="X1260">
        <v>0</v>
      </c>
      <c r="Y1260">
        <v>33397802</v>
      </c>
      <c r="Z1260">
        <v>33553455</v>
      </c>
      <c r="AA1260">
        <f t="shared" si="39"/>
        <v>111335</v>
      </c>
      <c r="AB1260">
        <f t="shared" si="38"/>
        <v>0.55957271934851027</v>
      </c>
    </row>
    <row r="1261" spans="1:28">
      <c r="A1261" t="s">
        <v>34</v>
      </c>
      <c r="B1261" s="2">
        <v>46174</v>
      </c>
      <c r="C1261" s="2">
        <v>46143</v>
      </c>
      <c r="D1261" s="2">
        <v>46231</v>
      </c>
      <c r="E1261">
        <v>26913532</v>
      </c>
      <c r="F1261">
        <v>27058164</v>
      </c>
      <c r="G1261">
        <v>144632</v>
      </c>
      <c r="H1261">
        <v>91.32</v>
      </c>
      <c r="I1261">
        <v>430000</v>
      </c>
      <c r="J1261" t="s">
        <v>51</v>
      </c>
      <c r="K1261">
        <v>0.4</v>
      </c>
      <c r="L1261">
        <v>0.43</v>
      </c>
      <c r="M1261">
        <v>7908071</v>
      </c>
      <c r="N1261">
        <v>7938962</v>
      </c>
      <c r="O1261">
        <v>0</v>
      </c>
      <c r="P1261">
        <v>0</v>
      </c>
      <c r="Q1261">
        <v>6206028</v>
      </c>
      <c r="R1261">
        <v>6199167</v>
      </c>
      <c r="S1261">
        <v>4577770</v>
      </c>
      <c r="T1261">
        <v>4649224</v>
      </c>
      <c r="U1261">
        <v>0</v>
      </c>
      <c r="V1261">
        <v>0</v>
      </c>
      <c r="W1261">
        <v>0</v>
      </c>
      <c r="X1261">
        <v>0</v>
      </c>
      <c r="Y1261">
        <v>8221663</v>
      </c>
      <c r="Z1261">
        <v>8270811</v>
      </c>
      <c r="AA1261">
        <f t="shared" si="39"/>
        <v>-6861</v>
      </c>
      <c r="AB1261">
        <f t="shared" si="38"/>
        <v>-0.11055380349556915</v>
      </c>
    </row>
    <row r="1262" spans="1:28">
      <c r="A1262" t="s">
        <v>35</v>
      </c>
      <c r="B1262" s="2">
        <v>46174</v>
      </c>
      <c r="C1262" s="2">
        <v>46143</v>
      </c>
      <c r="D1262" s="2">
        <v>46231</v>
      </c>
      <c r="E1262">
        <v>9401740</v>
      </c>
      <c r="F1262">
        <v>9418730</v>
      </c>
      <c r="G1262">
        <v>16990</v>
      </c>
      <c r="H1262">
        <v>107.68</v>
      </c>
      <c r="I1262">
        <v>60000</v>
      </c>
      <c r="J1262" t="s">
        <v>51</v>
      </c>
      <c r="K1262">
        <v>0.05</v>
      </c>
      <c r="L1262">
        <v>0.06</v>
      </c>
      <c r="M1262">
        <v>3624363</v>
      </c>
      <c r="N1262">
        <v>3625894</v>
      </c>
      <c r="O1262">
        <v>0</v>
      </c>
      <c r="P1262">
        <v>0</v>
      </c>
      <c r="Q1262">
        <v>396159</v>
      </c>
      <c r="R1262">
        <v>394020</v>
      </c>
      <c r="S1262">
        <v>1789147</v>
      </c>
      <c r="T1262">
        <v>1795583</v>
      </c>
      <c r="U1262">
        <v>0</v>
      </c>
      <c r="V1262">
        <v>0</v>
      </c>
      <c r="W1262">
        <v>0</v>
      </c>
      <c r="X1262">
        <v>0</v>
      </c>
      <c r="Y1262">
        <v>3592071</v>
      </c>
      <c r="Z1262">
        <v>3603233</v>
      </c>
      <c r="AA1262">
        <f t="shared" si="39"/>
        <v>-2139</v>
      </c>
      <c r="AB1262">
        <f t="shared" si="38"/>
        <v>-0.53993472317932956</v>
      </c>
    </row>
    <row r="1263" spans="1:28">
      <c r="A1263" t="s">
        <v>36</v>
      </c>
      <c r="B1263" s="2">
        <v>46174</v>
      </c>
      <c r="C1263" s="2">
        <v>46143</v>
      </c>
      <c r="D1263" s="2">
        <v>46231</v>
      </c>
      <c r="E1263">
        <v>13725489</v>
      </c>
      <c r="F1263">
        <v>14009232</v>
      </c>
      <c r="G1263">
        <v>283743</v>
      </c>
      <c r="H1263">
        <v>75.959999999999994</v>
      </c>
      <c r="I1263">
        <v>90000</v>
      </c>
      <c r="J1263" t="s">
        <v>51</v>
      </c>
      <c r="K1263">
        <v>0.09</v>
      </c>
      <c r="L1263">
        <v>0.09</v>
      </c>
      <c r="M1263">
        <v>6837398</v>
      </c>
      <c r="N1263">
        <v>7021123</v>
      </c>
      <c r="O1263">
        <v>0</v>
      </c>
      <c r="P1263">
        <v>0</v>
      </c>
      <c r="Q1263">
        <v>284997</v>
      </c>
      <c r="R1263">
        <v>281761</v>
      </c>
      <c r="S1263">
        <v>854021</v>
      </c>
      <c r="T1263">
        <v>857909</v>
      </c>
      <c r="U1263">
        <v>0</v>
      </c>
      <c r="V1263">
        <v>0</v>
      </c>
      <c r="W1263">
        <v>0</v>
      </c>
      <c r="X1263">
        <v>0</v>
      </c>
      <c r="Y1263">
        <v>5749073</v>
      </c>
      <c r="Z1263">
        <v>5848439</v>
      </c>
      <c r="AA1263">
        <f t="shared" si="39"/>
        <v>-3236</v>
      </c>
      <c r="AB1263">
        <f t="shared" si="38"/>
        <v>-1.1354505486022661</v>
      </c>
    </row>
    <row r="1264" spans="1:28">
      <c r="A1264" t="s">
        <v>37</v>
      </c>
      <c r="B1264" s="2">
        <v>46174</v>
      </c>
      <c r="C1264" s="2">
        <v>46143</v>
      </c>
      <c r="D1264" s="2">
        <v>46231</v>
      </c>
      <c r="E1264">
        <v>83476020</v>
      </c>
      <c r="F1264">
        <v>83849494</v>
      </c>
      <c r="G1264">
        <v>373474</v>
      </c>
      <c r="H1264">
        <v>66.97</v>
      </c>
      <c r="I1264">
        <v>600000</v>
      </c>
      <c r="J1264" t="s">
        <v>51</v>
      </c>
      <c r="K1264">
        <v>0.56999999999999995</v>
      </c>
      <c r="L1264">
        <v>0.6</v>
      </c>
      <c r="M1264">
        <v>44450844</v>
      </c>
      <c r="N1264">
        <v>44658497</v>
      </c>
      <c r="O1264">
        <v>75</v>
      </c>
      <c r="P1264">
        <v>53</v>
      </c>
      <c r="Q1264">
        <v>7620337</v>
      </c>
      <c r="R1264">
        <v>7683472</v>
      </c>
      <c r="S1264">
        <v>4739380</v>
      </c>
      <c r="T1264">
        <v>4746383</v>
      </c>
      <c r="U1264">
        <v>0</v>
      </c>
      <c r="V1264">
        <v>0</v>
      </c>
      <c r="W1264">
        <v>0</v>
      </c>
      <c r="X1264">
        <v>0</v>
      </c>
      <c r="Y1264">
        <v>26665384</v>
      </c>
      <c r="Z1264">
        <v>26761089</v>
      </c>
      <c r="AA1264">
        <f t="shared" si="39"/>
        <v>63135</v>
      </c>
      <c r="AB1264">
        <f t="shared" si="38"/>
        <v>0.8285066657813166</v>
      </c>
    </row>
    <row r="1265" spans="1:28">
      <c r="A1265" t="s">
        <v>38</v>
      </c>
      <c r="B1265" s="2">
        <v>46174</v>
      </c>
      <c r="C1265" s="2">
        <v>46143</v>
      </c>
      <c r="D1265" s="2">
        <v>46231</v>
      </c>
      <c r="E1265">
        <v>42613608</v>
      </c>
      <c r="F1265">
        <v>42753302</v>
      </c>
      <c r="G1265">
        <v>139694</v>
      </c>
      <c r="H1265">
        <v>93.18</v>
      </c>
      <c r="I1265">
        <v>260000</v>
      </c>
      <c r="J1265" t="s">
        <v>51</v>
      </c>
      <c r="K1265">
        <v>0.24</v>
      </c>
      <c r="L1265">
        <v>0.26</v>
      </c>
      <c r="M1265">
        <v>9748800</v>
      </c>
      <c r="N1265">
        <v>9785939</v>
      </c>
      <c r="O1265">
        <v>3</v>
      </c>
      <c r="P1265">
        <v>3</v>
      </c>
      <c r="Q1265">
        <v>12750255</v>
      </c>
      <c r="R1265">
        <v>12792244</v>
      </c>
      <c r="S1265">
        <v>8970872</v>
      </c>
      <c r="T1265">
        <v>8981297</v>
      </c>
      <c r="U1265">
        <v>0</v>
      </c>
      <c r="V1265">
        <v>0</v>
      </c>
      <c r="W1265">
        <v>0</v>
      </c>
      <c r="X1265">
        <v>0</v>
      </c>
      <c r="Y1265">
        <v>11143678</v>
      </c>
      <c r="Z1265">
        <v>11193819</v>
      </c>
      <c r="AA1265">
        <f t="shared" si="39"/>
        <v>41989</v>
      </c>
      <c r="AB1265">
        <f t="shared" si="38"/>
        <v>0.32931890381800205</v>
      </c>
    </row>
    <row r="1266" spans="1:28">
      <c r="A1266" t="s">
        <v>39</v>
      </c>
      <c r="B1266" s="2">
        <v>46174</v>
      </c>
      <c r="C1266" s="2">
        <v>46143</v>
      </c>
      <c r="D1266" s="2">
        <v>46231</v>
      </c>
      <c r="E1266">
        <v>23090712</v>
      </c>
      <c r="F1266">
        <v>23097599</v>
      </c>
      <c r="G1266">
        <v>6887</v>
      </c>
      <c r="H1266">
        <v>85.09</v>
      </c>
      <c r="I1266">
        <v>180000</v>
      </c>
      <c r="J1266" t="s">
        <v>51</v>
      </c>
      <c r="K1266">
        <v>0.19</v>
      </c>
      <c r="L1266">
        <v>0.18</v>
      </c>
      <c r="M1266">
        <v>6020324</v>
      </c>
      <c r="N1266">
        <v>6044270</v>
      </c>
      <c r="O1266">
        <v>0</v>
      </c>
      <c r="P1266">
        <v>0</v>
      </c>
      <c r="Q1266">
        <v>4542132</v>
      </c>
      <c r="R1266">
        <v>4533842</v>
      </c>
      <c r="S1266">
        <v>1427641</v>
      </c>
      <c r="T1266">
        <v>1421235</v>
      </c>
      <c r="U1266">
        <v>0</v>
      </c>
      <c r="V1266">
        <v>0</v>
      </c>
      <c r="W1266">
        <v>0</v>
      </c>
      <c r="X1266">
        <v>0</v>
      </c>
      <c r="Y1266">
        <v>11100615</v>
      </c>
      <c r="Z1266">
        <v>11098252</v>
      </c>
      <c r="AA1266">
        <f t="shared" si="39"/>
        <v>-8290</v>
      </c>
      <c r="AB1266">
        <f t="shared" si="38"/>
        <v>-0.18251341000217519</v>
      </c>
    </row>
    <row r="1267" spans="1:28">
      <c r="A1267" t="s">
        <v>40</v>
      </c>
      <c r="B1267" s="2">
        <v>46174</v>
      </c>
      <c r="C1267" s="2">
        <v>46143</v>
      </c>
      <c r="D1267" s="2">
        <v>46231</v>
      </c>
      <c r="E1267">
        <v>86404953</v>
      </c>
      <c r="F1267">
        <v>86710560</v>
      </c>
      <c r="G1267">
        <v>305607</v>
      </c>
      <c r="H1267">
        <v>87.01</v>
      </c>
      <c r="I1267">
        <v>1400000</v>
      </c>
      <c r="J1267" t="s">
        <v>51</v>
      </c>
      <c r="K1267">
        <v>1.37</v>
      </c>
      <c r="L1267">
        <v>1.4</v>
      </c>
      <c r="M1267">
        <v>18558123</v>
      </c>
      <c r="N1267">
        <v>18612142</v>
      </c>
      <c r="O1267">
        <v>0</v>
      </c>
      <c r="P1267">
        <v>0</v>
      </c>
      <c r="Q1267">
        <v>12441469</v>
      </c>
      <c r="R1267">
        <v>12401509</v>
      </c>
      <c r="S1267">
        <v>5132545</v>
      </c>
      <c r="T1267">
        <v>5128546</v>
      </c>
      <c r="U1267">
        <v>0</v>
      </c>
      <c r="V1267">
        <v>0</v>
      </c>
      <c r="W1267">
        <v>0</v>
      </c>
      <c r="X1267">
        <v>0</v>
      </c>
      <c r="Y1267">
        <v>50272816</v>
      </c>
      <c r="Z1267">
        <v>50568363</v>
      </c>
      <c r="AA1267">
        <f t="shared" si="39"/>
        <v>-39960</v>
      </c>
      <c r="AB1267">
        <f t="shared" si="38"/>
        <v>-0.32118393736302364</v>
      </c>
    </row>
    <row r="1268" spans="1:28">
      <c r="A1268" t="s">
        <v>41</v>
      </c>
      <c r="B1268" s="2">
        <v>46174</v>
      </c>
      <c r="C1268" s="2">
        <v>46143</v>
      </c>
      <c r="D1268" s="2">
        <v>46231</v>
      </c>
      <c r="E1268">
        <v>103554406</v>
      </c>
      <c r="F1268">
        <v>104152211</v>
      </c>
      <c r="G1268">
        <v>597805</v>
      </c>
      <c r="H1268">
        <v>91.97</v>
      </c>
      <c r="I1268">
        <v>960000</v>
      </c>
      <c r="J1268" t="s">
        <v>51</v>
      </c>
      <c r="K1268">
        <v>0.87</v>
      </c>
      <c r="L1268">
        <v>0.96</v>
      </c>
      <c r="M1268">
        <v>33220613</v>
      </c>
      <c r="N1268">
        <v>33739307</v>
      </c>
      <c r="O1268">
        <v>0</v>
      </c>
      <c r="P1268">
        <v>0</v>
      </c>
      <c r="Q1268">
        <v>20581895</v>
      </c>
      <c r="R1268">
        <v>20640388</v>
      </c>
      <c r="S1268">
        <v>5284267</v>
      </c>
      <c r="T1268">
        <v>5288701</v>
      </c>
      <c r="U1268">
        <v>0</v>
      </c>
      <c r="V1268">
        <v>0</v>
      </c>
      <c r="W1268">
        <v>0</v>
      </c>
      <c r="X1268">
        <v>0</v>
      </c>
      <c r="Y1268">
        <v>44467631</v>
      </c>
      <c r="Z1268">
        <v>44483815</v>
      </c>
      <c r="AA1268">
        <f t="shared" si="39"/>
        <v>58493</v>
      </c>
      <c r="AB1268">
        <f t="shared" si="38"/>
        <v>0.28419637744726617</v>
      </c>
    </row>
    <row r="1269" spans="1:28">
      <c r="A1269" t="s">
        <v>42</v>
      </c>
      <c r="B1269" s="2">
        <v>46174</v>
      </c>
      <c r="C1269" s="2">
        <v>46143</v>
      </c>
      <c r="D1269" s="2">
        <v>46231</v>
      </c>
      <c r="E1269">
        <v>40311977</v>
      </c>
      <c r="F1269">
        <v>40524583</v>
      </c>
      <c r="G1269">
        <v>212606</v>
      </c>
      <c r="H1269">
        <v>68.78</v>
      </c>
      <c r="I1269">
        <v>240000</v>
      </c>
      <c r="J1269" t="s">
        <v>51</v>
      </c>
      <c r="K1269">
        <v>0.22</v>
      </c>
      <c r="L1269">
        <v>0.24</v>
      </c>
      <c r="M1269">
        <v>16206457</v>
      </c>
      <c r="N1269">
        <v>16336019</v>
      </c>
      <c r="O1269">
        <v>40</v>
      </c>
      <c r="P1269">
        <v>43</v>
      </c>
      <c r="Q1269">
        <v>10712900</v>
      </c>
      <c r="R1269">
        <v>10700639</v>
      </c>
      <c r="S1269">
        <v>0</v>
      </c>
      <c r="T1269">
        <v>0</v>
      </c>
      <c r="U1269">
        <v>0</v>
      </c>
      <c r="V1269">
        <v>0</v>
      </c>
      <c r="W1269">
        <v>49838</v>
      </c>
      <c r="X1269">
        <v>41750</v>
      </c>
      <c r="Y1269">
        <v>13342742</v>
      </c>
      <c r="Z1269">
        <v>13446132</v>
      </c>
      <c r="AA1269">
        <f t="shared" si="39"/>
        <v>-12261</v>
      </c>
      <c r="AB1269">
        <f t="shared" si="38"/>
        <v>-0.11445080230376463</v>
      </c>
    </row>
    <row r="1270" spans="1:28">
      <c r="A1270" t="s">
        <v>43</v>
      </c>
      <c r="B1270" s="2">
        <v>46174</v>
      </c>
      <c r="C1270" s="2">
        <v>46143</v>
      </c>
      <c r="D1270" s="2">
        <v>46231</v>
      </c>
      <c r="E1270">
        <v>13375953</v>
      </c>
      <c r="F1270">
        <v>13399407</v>
      </c>
      <c r="G1270">
        <v>23454</v>
      </c>
      <c r="H1270">
        <v>96.04</v>
      </c>
      <c r="I1270">
        <v>50000</v>
      </c>
      <c r="J1270" t="s">
        <v>51</v>
      </c>
      <c r="K1270">
        <v>0.05</v>
      </c>
      <c r="L1270">
        <v>0.05</v>
      </c>
      <c r="M1270">
        <v>6789479</v>
      </c>
      <c r="N1270">
        <v>6809337</v>
      </c>
      <c r="O1270">
        <v>0</v>
      </c>
      <c r="P1270">
        <v>0</v>
      </c>
      <c r="Q1270">
        <v>597071</v>
      </c>
      <c r="R1270">
        <v>596025</v>
      </c>
      <c r="S1270">
        <v>1296289</v>
      </c>
      <c r="T1270">
        <v>1291691</v>
      </c>
      <c r="U1270">
        <v>0</v>
      </c>
      <c r="V1270">
        <v>0</v>
      </c>
      <c r="W1270">
        <v>0</v>
      </c>
      <c r="X1270">
        <v>0</v>
      </c>
      <c r="Y1270">
        <v>4693114</v>
      </c>
      <c r="Z1270">
        <v>4702354</v>
      </c>
      <c r="AA1270">
        <f t="shared" si="39"/>
        <v>-1046</v>
      </c>
      <c r="AB1270">
        <f t="shared" si="38"/>
        <v>-0.17518854541587181</v>
      </c>
    </row>
    <row r="1271" spans="1:28">
      <c r="A1271" t="s">
        <v>44</v>
      </c>
      <c r="B1271" s="2">
        <v>46174</v>
      </c>
      <c r="C1271" s="2">
        <v>46143</v>
      </c>
      <c r="D1271" s="2">
        <v>46231</v>
      </c>
      <c r="E1271">
        <v>38460022</v>
      </c>
      <c r="F1271">
        <v>38601888</v>
      </c>
      <c r="G1271">
        <v>141866</v>
      </c>
      <c r="H1271">
        <v>85.05</v>
      </c>
      <c r="I1271">
        <v>250000</v>
      </c>
      <c r="J1271" t="s">
        <v>51</v>
      </c>
      <c r="K1271">
        <v>0.25</v>
      </c>
      <c r="L1271">
        <v>0.25</v>
      </c>
      <c r="M1271">
        <v>13370540</v>
      </c>
      <c r="N1271">
        <v>13384173</v>
      </c>
      <c r="O1271">
        <v>0</v>
      </c>
      <c r="P1271">
        <v>0</v>
      </c>
      <c r="Q1271">
        <v>1525249</v>
      </c>
      <c r="R1271">
        <v>1544134</v>
      </c>
      <c r="S1271">
        <v>5499804</v>
      </c>
      <c r="T1271">
        <v>5496126</v>
      </c>
      <c r="U1271">
        <v>0</v>
      </c>
      <c r="V1271">
        <v>0</v>
      </c>
      <c r="W1271">
        <v>0</v>
      </c>
      <c r="X1271">
        <v>0</v>
      </c>
      <c r="Y1271">
        <v>18064429</v>
      </c>
      <c r="Z1271">
        <v>18177455</v>
      </c>
      <c r="AA1271">
        <f t="shared" si="39"/>
        <v>18885</v>
      </c>
      <c r="AB1271">
        <f t="shared" si="38"/>
        <v>1.2381584908431345</v>
      </c>
    </row>
    <row r="1272" spans="1:28">
      <c r="A1272" t="s">
        <v>45</v>
      </c>
      <c r="B1272" s="2">
        <v>46174</v>
      </c>
      <c r="C1272" s="2">
        <v>46143</v>
      </c>
      <c r="D1272" s="2">
        <v>46231</v>
      </c>
      <c r="E1272">
        <v>35566242</v>
      </c>
      <c r="F1272">
        <v>35612786</v>
      </c>
      <c r="G1272">
        <v>46544</v>
      </c>
      <c r="H1272">
        <v>91.3</v>
      </c>
      <c r="I1272">
        <v>360000</v>
      </c>
      <c r="J1272" t="s">
        <v>51</v>
      </c>
      <c r="K1272">
        <v>0.36</v>
      </c>
      <c r="L1272">
        <v>0.36</v>
      </c>
      <c r="M1272">
        <v>14089157</v>
      </c>
      <c r="N1272">
        <v>14146751</v>
      </c>
      <c r="O1272">
        <v>5</v>
      </c>
      <c r="P1272">
        <v>5</v>
      </c>
      <c r="Q1272">
        <v>5617168</v>
      </c>
      <c r="R1272">
        <v>5591155</v>
      </c>
      <c r="S1272">
        <v>4104876</v>
      </c>
      <c r="T1272">
        <v>4105142</v>
      </c>
      <c r="U1272">
        <v>0</v>
      </c>
      <c r="V1272">
        <v>0</v>
      </c>
      <c r="W1272">
        <v>0</v>
      </c>
      <c r="X1272">
        <v>0</v>
      </c>
      <c r="Y1272">
        <v>11755036</v>
      </c>
      <c r="Z1272">
        <v>11769733</v>
      </c>
      <c r="AA1272">
        <f t="shared" si="39"/>
        <v>-26013</v>
      </c>
      <c r="AB1272">
        <f t="shared" si="38"/>
        <v>-0.46309813058822519</v>
      </c>
    </row>
    <row r="1273" spans="1:28">
      <c r="A1273" t="s">
        <v>46</v>
      </c>
      <c r="B1273" s="2">
        <v>46174</v>
      </c>
      <c r="C1273" s="2">
        <v>46143</v>
      </c>
      <c r="D1273" s="2">
        <v>46231</v>
      </c>
      <c r="E1273">
        <v>68305192</v>
      </c>
      <c r="F1273">
        <v>68538496</v>
      </c>
      <c r="G1273">
        <v>233304</v>
      </c>
      <c r="H1273">
        <v>89.94</v>
      </c>
      <c r="I1273">
        <v>800000</v>
      </c>
      <c r="J1273" t="s">
        <v>51</v>
      </c>
      <c r="K1273">
        <v>0.76</v>
      </c>
      <c r="L1273">
        <v>0.8</v>
      </c>
      <c r="M1273">
        <v>26261236</v>
      </c>
      <c r="N1273">
        <v>26324143</v>
      </c>
      <c r="O1273">
        <v>35</v>
      </c>
      <c r="P1273">
        <v>34</v>
      </c>
      <c r="Q1273">
        <v>8212020</v>
      </c>
      <c r="R1273">
        <v>8167562</v>
      </c>
      <c r="S1273">
        <v>5757236</v>
      </c>
      <c r="T1273">
        <v>5789648</v>
      </c>
      <c r="U1273">
        <v>0</v>
      </c>
      <c r="V1273">
        <v>0</v>
      </c>
      <c r="W1273">
        <v>0</v>
      </c>
      <c r="X1273">
        <v>0</v>
      </c>
      <c r="Y1273">
        <v>28074665</v>
      </c>
      <c r="Z1273">
        <v>28257109</v>
      </c>
      <c r="AA1273">
        <f t="shared" si="39"/>
        <v>-44458</v>
      </c>
      <c r="AB1273">
        <f t="shared" si="38"/>
        <v>-0.54137715202836822</v>
      </c>
    </row>
    <row r="1274" spans="1:28">
      <c r="A1274" t="s">
        <v>47</v>
      </c>
      <c r="B1274" s="2">
        <v>46174</v>
      </c>
      <c r="C1274" s="2">
        <v>46143</v>
      </c>
      <c r="D1274" s="2">
        <v>46231</v>
      </c>
      <c r="E1274">
        <v>80617230</v>
      </c>
      <c r="F1274">
        <v>80953051</v>
      </c>
      <c r="G1274">
        <v>335821</v>
      </c>
      <c r="H1274">
        <v>79.3</v>
      </c>
      <c r="I1274">
        <v>550000</v>
      </c>
      <c r="J1274" t="s">
        <v>51</v>
      </c>
      <c r="K1274">
        <v>0.51</v>
      </c>
      <c r="L1274">
        <v>0.55000000000000004</v>
      </c>
      <c r="M1274">
        <v>33412949</v>
      </c>
      <c r="N1274">
        <v>33648424</v>
      </c>
      <c r="O1274">
        <v>0</v>
      </c>
      <c r="P1274">
        <v>0</v>
      </c>
      <c r="Q1274">
        <v>14201784</v>
      </c>
      <c r="R1274">
        <v>14165098</v>
      </c>
      <c r="S1274">
        <v>7906366</v>
      </c>
      <c r="T1274">
        <v>7875683</v>
      </c>
      <c r="U1274">
        <v>0</v>
      </c>
      <c r="V1274">
        <v>0</v>
      </c>
      <c r="W1274">
        <v>0</v>
      </c>
      <c r="X1274">
        <v>0</v>
      </c>
      <c r="Y1274">
        <v>25096131</v>
      </c>
      <c r="Z1274">
        <v>25263846</v>
      </c>
      <c r="AA1274">
        <f t="shared" si="39"/>
        <v>-36686</v>
      </c>
      <c r="AB1274">
        <f t="shared" si="38"/>
        <v>-0.25831965899495446</v>
      </c>
    </row>
    <row r="1275" spans="1:28">
      <c r="A1275" t="s">
        <v>48</v>
      </c>
      <c r="B1275" s="2">
        <v>46174</v>
      </c>
      <c r="C1275" s="2">
        <v>46143</v>
      </c>
      <c r="D1275" s="2">
        <v>46231</v>
      </c>
      <c r="E1275">
        <v>111198495</v>
      </c>
      <c r="F1275">
        <v>111566536</v>
      </c>
      <c r="G1275">
        <v>368041</v>
      </c>
      <c r="H1275">
        <v>85.94</v>
      </c>
      <c r="I1275">
        <v>2100000</v>
      </c>
      <c r="J1275" t="s">
        <v>51</v>
      </c>
      <c r="K1275">
        <v>2.06</v>
      </c>
      <c r="L1275">
        <v>2.1</v>
      </c>
      <c r="M1275">
        <v>41649868</v>
      </c>
      <c r="N1275">
        <v>41710382</v>
      </c>
      <c r="O1275">
        <v>0</v>
      </c>
      <c r="P1275">
        <v>0</v>
      </c>
      <c r="Q1275">
        <v>16403959</v>
      </c>
      <c r="R1275">
        <v>16581204</v>
      </c>
      <c r="S1275">
        <v>8457382</v>
      </c>
      <c r="T1275">
        <v>8452682</v>
      </c>
      <c r="U1275">
        <v>0</v>
      </c>
      <c r="V1275">
        <v>0</v>
      </c>
      <c r="W1275">
        <v>0</v>
      </c>
      <c r="X1275">
        <v>0</v>
      </c>
      <c r="Y1275">
        <v>44687286</v>
      </c>
      <c r="Z1275">
        <v>44822268</v>
      </c>
      <c r="AA1275">
        <f t="shared" si="39"/>
        <v>177245</v>
      </c>
      <c r="AB1275">
        <f t="shared" si="38"/>
        <v>1.0805013594584087</v>
      </c>
    </row>
    <row r="1276" spans="1:28">
      <c r="A1276" t="s">
        <v>49</v>
      </c>
      <c r="B1276" s="2">
        <v>46174</v>
      </c>
      <c r="C1276" s="2">
        <v>46143</v>
      </c>
      <c r="D1276" s="2">
        <v>46231</v>
      </c>
      <c r="E1276">
        <v>66939370</v>
      </c>
      <c r="F1276">
        <v>66935677</v>
      </c>
      <c r="G1276">
        <v>-3693</v>
      </c>
      <c r="H1276">
        <v>94.23</v>
      </c>
      <c r="I1276">
        <v>1460000</v>
      </c>
      <c r="J1276" t="s">
        <v>51</v>
      </c>
      <c r="K1276">
        <v>1.49</v>
      </c>
      <c r="L1276">
        <v>1.46</v>
      </c>
      <c r="M1276">
        <v>23203685</v>
      </c>
      <c r="N1276">
        <v>23343743</v>
      </c>
      <c r="O1276">
        <v>0</v>
      </c>
      <c r="P1276">
        <v>0</v>
      </c>
      <c r="Q1276">
        <v>12358584</v>
      </c>
      <c r="R1276">
        <v>12230557</v>
      </c>
      <c r="S1276">
        <v>5169858</v>
      </c>
      <c r="T1276">
        <v>5177442</v>
      </c>
      <c r="U1276">
        <v>0</v>
      </c>
      <c r="V1276">
        <v>0</v>
      </c>
      <c r="W1276">
        <v>0</v>
      </c>
      <c r="X1276">
        <v>0</v>
      </c>
      <c r="Y1276">
        <v>26207243</v>
      </c>
      <c r="Z1276">
        <v>26183935</v>
      </c>
      <c r="AA1276">
        <f t="shared" si="39"/>
        <v>-128027</v>
      </c>
      <c r="AB1276">
        <f t="shared" si="38"/>
        <v>-1.0359358321309302</v>
      </c>
    </row>
    <row r="1277" spans="1:28">
      <c r="A1277" t="s">
        <v>50</v>
      </c>
      <c r="B1277" s="2">
        <v>46174</v>
      </c>
      <c r="C1277" s="2">
        <v>46143</v>
      </c>
      <c r="D1277" s="2">
        <v>46231</v>
      </c>
      <c r="E1277">
        <v>58447391</v>
      </c>
      <c r="F1277">
        <v>58659217</v>
      </c>
      <c r="G1277">
        <v>211826</v>
      </c>
      <c r="H1277">
        <v>93.39</v>
      </c>
      <c r="I1277">
        <v>1310000</v>
      </c>
      <c r="J1277" t="s">
        <v>51</v>
      </c>
      <c r="K1277">
        <v>1.35</v>
      </c>
      <c r="L1277">
        <v>1.31</v>
      </c>
      <c r="M1277">
        <v>19258903</v>
      </c>
      <c r="N1277">
        <v>19376456</v>
      </c>
      <c r="O1277">
        <v>1</v>
      </c>
      <c r="P1277">
        <v>1</v>
      </c>
      <c r="Q1277">
        <v>10210727</v>
      </c>
      <c r="R1277">
        <v>10163648</v>
      </c>
      <c r="S1277">
        <v>2641533</v>
      </c>
      <c r="T1277">
        <v>2632670</v>
      </c>
      <c r="U1277">
        <v>0</v>
      </c>
      <c r="V1277">
        <v>0</v>
      </c>
      <c r="W1277">
        <v>0</v>
      </c>
      <c r="X1277">
        <v>0</v>
      </c>
      <c r="Y1277">
        <v>26336227</v>
      </c>
      <c r="Z1277">
        <v>26486442</v>
      </c>
      <c r="AA1277">
        <f t="shared" si="39"/>
        <v>-47079</v>
      </c>
      <c r="AB1277">
        <f t="shared" si="38"/>
        <v>-0.46107392744904452</v>
      </c>
    </row>
    <row r="1278" spans="1:28">
      <c r="A1278" t="s">
        <v>28</v>
      </c>
      <c r="B1278" s="2">
        <v>46204</v>
      </c>
      <c r="C1278" s="2">
        <v>46174</v>
      </c>
      <c r="D1278" s="2">
        <v>46262</v>
      </c>
      <c r="E1278">
        <v>88299361</v>
      </c>
      <c r="F1278">
        <v>88715317</v>
      </c>
      <c r="G1278">
        <v>415956</v>
      </c>
      <c r="H1278">
        <v>95.73</v>
      </c>
      <c r="I1278">
        <v>661963</v>
      </c>
      <c r="J1278" t="s">
        <v>51</v>
      </c>
      <c r="K1278">
        <v>611982</v>
      </c>
      <c r="L1278">
        <v>661963</v>
      </c>
      <c r="M1278">
        <v>39412884</v>
      </c>
      <c r="N1278">
        <v>39732416</v>
      </c>
      <c r="O1278">
        <v>0</v>
      </c>
      <c r="P1278">
        <v>0</v>
      </c>
      <c r="Q1278">
        <v>8729360</v>
      </c>
      <c r="R1278">
        <v>8715411</v>
      </c>
      <c r="S1278">
        <v>7577013</v>
      </c>
      <c r="T1278">
        <v>7614955</v>
      </c>
      <c r="U1278">
        <v>0</v>
      </c>
      <c r="V1278">
        <v>0</v>
      </c>
      <c r="W1278">
        <v>0</v>
      </c>
      <c r="X1278">
        <v>0</v>
      </c>
      <c r="Y1278">
        <v>32580104</v>
      </c>
      <c r="Z1278">
        <v>32652535</v>
      </c>
      <c r="AA1278">
        <f t="shared" si="39"/>
        <v>-13949</v>
      </c>
      <c r="AB1278">
        <f t="shared" si="38"/>
        <v>-0.15979407425057507</v>
      </c>
    </row>
    <row r="1279" spans="1:28">
      <c r="A1279" t="s">
        <v>30</v>
      </c>
      <c r="B1279" s="2">
        <v>46204</v>
      </c>
      <c r="C1279" s="2">
        <v>46174</v>
      </c>
      <c r="D1279" s="2">
        <v>46262</v>
      </c>
      <c r="E1279">
        <v>29638556</v>
      </c>
      <c r="F1279">
        <v>29781231</v>
      </c>
      <c r="G1279">
        <v>142675</v>
      </c>
      <c r="H1279">
        <v>85.72</v>
      </c>
      <c r="I1279">
        <v>149874</v>
      </c>
      <c r="J1279" t="s">
        <v>51</v>
      </c>
      <c r="K1279">
        <v>147847</v>
      </c>
      <c r="L1279">
        <v>149874</v>
      </c>
      <c r="M1279">
        <v>15052205</v>
      </c>
      <c r="N1279">
        <v>15143012</v>
      </c>
      <c r="O1279">
        <v>0</v>
      </c>
      <c r="P1279">
        <v>0</v>
      </c>
      <c r="Q1279">
        <v>1514448</v>
      </c>
      <c r="R1279">
        <v>1519974</v>
      </c>
      <c r="S1279">
        <v>2907824</v>
      </c>
      <c r="T1279">
        <v>2901384</v>
      </c>
      <c r="U1279">
        <v>0</v>
      </c>
      <c r="V1279">
        <v>0</v>
      </c>
      <c r="W1279">
        <v>0</v>
      </c>
      <c r="X1279">
        <v>0</v>
      </c>
      <c r="Y1279">
        <v>10164079</v>
      </c>
      <c r="Z1279">
        <v>10216861</v>
      </c>
      <c r="AA1279">
        <f t="shared" si="39"/>
        <v>5526</v>
      </c>
      <c r="AB1279">
        <f t="shared" si="38"/>
        <v>0.36488542359988591</v>
      </c>
    </row>
    <row r="1280" spans="1:28">
      <c r="A1280" t="s">
        <v>31</v>
      </c>
      <c r="B1280" s="2">
        <v>46204</v>
      </c>
      <c r="C1280" s="2">
        <v>46174</v>
      </c>
      <c r="D1280" s="2">
        <v>46262</v>
      </c>
      <c r="E1280">
        <v>108441928</v>
      </c>
      <c r="F1280">
        <v>108923735</v>
      </c>
      <c r="G1280">
        <v>481807</v>
      </c>
      <c r="H1280">
        <v>86.17</v>
      </c>
      <c r="I1280">
        <v>1466991</v>
      </c>
      <c r="J1280" t="s">
        <v>51</v>
      </c>
      <c r="K1280">
        <v>1362525</v>
      </c>
      <c r="L1280">
        <v>1466991</v>
      </c>
      <c r="M1280">
        <v>49856273</v>
      </c>
      <c r="N1280">
        <v>50040817</v>
      </c>
      <c r="O1280">
        <v>0</v>
      </c>
      <c r="P1280">
        <v>0</v>
      </c>
      <c r="Q1280">
        <v>7444371</v>
      </c>
      <c r="R1280">
        <v>7480977</v>
      </c>
      <c r="S1280">
        <v>5532703</v>
      </c>
      <c r="T1280">
        <v>5518948</v>
      </c>
      <c r="U1280">
        <v>0</v>
      </c>
      <c r="V1280">
        <v>0</v>
      </c>
      <c r="W1280">
        <v>0</v>
      </c>
      <c r="X1280">
        <v>0</v>
      </c>
      <c r="Y1280">
        <v>45608581</v>
      </c>
      <c r="Z1280">
        <v>45882993</v>
      </c>
      <c r="AA1280">
        <f t="shared" si="39"/>
        <v>36606</v>
      </c>
      <c r="AB1280">
        <f t="shared" si="38"/>
        <v>0.4917272392791816</v>
      </c>
    </row>
    <row r="1281" spans="1:28">
      <c r="A1281" t="s">
        <v>32</v>
      </c>
      <c r="B1281" s="2">
        <v>46204</v>
      </c>
      <c r="C1281" s="2">
        <v>46174</v>
      </c>
      <c r="D1281" s="2">
        <v>46262</v>
      </c>
      <c r="E1281">
        <v>77460205</v>
      </c>
      <c r="F1281">
        <v>77593221</v>
      </c>
      <c r="G1281">
        <v>133016</v>
      </c>
      <c r="H1281">
        <v>50.29</v>
      </c>
      <c r="I1281">
        <v>711530</v>
      </c>
      <c r="J1281" t="s">
        <v>51</v>
      </c>
      <c r="K1281">
        <v>617376</v>
      </c>
      <c r="L1281">
        <v>711530</v>
      </c>
      <c r="M1281">
        <v>40134446</v>
      </c>
      <c r="N1281">
        <v>40228926</v>
      </c>
      <c r="O1281">
        <v>2</v>
      </c>
      <c r="P1281">
        <v>3</v>
      </c>
      <c r="Q1281">
        <v>16460728</v>
      </c>
      <c r="R1281">
        <v>16543979</v>
      </c>
      <c r="S1281">
        <v>0</v>
      </c>
      <c r="T1281">
        <v>0</v>
      </c>
      <c r="U1281">
        <v>0</v>
      </c>
      <c r="V1281">
        <v>0</v>
      </c>
      <c r="W1281">
        <v>124727</v>
      </c>
      <c r="X1281">
        <v>122756</v>
      </c>
      <c r="Y1281">
        <v>20740302</v>
      </c>
      <c r="Z1281">
        <v>20697557</v>
      </c>
      <c r="AA1281">
        <f t="shared" si="39"/>
        <v>83251</v>
      </c>
      <c r="AB1281">
        <f t="shared" si="38"/>
        <v>0.50575527400732212</v>
      </c>
    </row>
    <row r="1282" spans="1:28">
      <c r="A1282" t="s">
        <v>33</v>
      </c>
      <c r="B1282" s="2">
        <v>46204</v>
      </c>
      <c r="C1282" s="2">
        <v>46174</v>
      </c>
      <c r="D1282" s="2">
        <v>46262</v>
      </c>
      <c r="E1282">
        <v>72701301</v>
      </c>
      <c r="F1282">
        <v>73223343</v>
      </c>
      <c r="G1282">
        <v>522042</v>
      </c>
      <c r="H1282">
        <v>88.02</v>
      </c>
      <c r="I1282">
        <v>1073227</v>
      </c>
      <c r="J1282" t="s">
        <v>51</v>
      </c>
      <c r="K1282">
        <v>953936</v>
      </c>
      <c r="L1282">
        <v>1073227</v>
      </c>
      <c r="M1282">
        <v>15838587</v>
      </c>
      <c r="N1282">
        <v>15946351</v>
      </c>
      <c r="O1282">
        <v>1</v>
      </c>
      <c r="P1282">
        <v>2</v>
      </c>
      <c r="Q1282">
        <v>20007766</v>
      </c>
      <c r="R1282">
        <v>20116264</v>
      </c>
      <c r="S1282">
        <v>3301492</v>
      </c>
      <c r="T1282">
        <v>3304433</v>
      </c>
      <c r="U1282">
        <v>0</v>
      </c>
      <c r="V1282">
        <v>0</v>
      </c>
      <c r="W1282">
        <v>0</v>
      </c>
      <c r="X1282">
        <v>0</v>
      </c>
      <c r="Y1282">
        <v>33553455</v>
      </c>
      <c r="Z1282">
        <v>33856293</v>
      </c>
      <c r="AA1282">
        <f t="shared" si="39"/>
        <v>108498</v>
      </c>
      <c r="AB1282">
        <f t="shared" si="38"/>
        <v>0.54227943289620639</v>
      </c>
    </row>
    <row r="1283" spans="1:28">
      <c r="A1283" t="s">
        <v>34</v>
      </c>
      <c r="B1283" s="2">
        <v>46204</v>
      </c>
      <c r="C1283" s="2">
        <v>46174</v>
      </c>
      <c r="D1283" s="2">
        <v>46262</v>
      </c>
      <c r="E1283">
        <v>27058164</v>
      </c>
      <c r="F1283">
        <v>27192012</v>
      </c>
      <c r="G1283">
        <v>133848</v>
      </c>
      <c r="H1283">
        <v>91.49</v>
      </c>
      <c r="I1283">
        <v>452025</v>
      </c>
      <c r="J1283" t="s">
        <v>51</v>
      </c>
      <c r="K1283">
        <v>430328</v>
      </c>
      <c r="L1283">
        <v>452025</v>
      </c>
      <c r="M1283">
        <v>7938962</v>
      </c>
      <c r="N1283">
        <v>7964101</v>
      </c>
      <c r="O1283">
        <v>0</v>
      </c>
      <c r="P1283">
        <v>0</v>
      </c>
      <c r="Q1283">
        <v>6199167</v>
      </c>
      <c r="R1283">
        <v>6201808</v>
      </c>
      <c r="S1283">
        <v>4649224</v>
      </c>
      <c r="T1283">
        <v>4717784</v>
      </c>
      <c r="U1283">
        <v>0</v>
      </c>
      <c r="V1283">
        <v>0</v>
      </c>
      <c r="W1283">
        <v>0</v>
      </c>
      <c r="X1283">
        <v>0</v>
      </c>
      <c r="Y1283">
        <v>8270811</v>
      </c>
      <c r="Z1283">
        <v>8308319</v>
      </c>
      <c r="AA1283">
        <f t="shared" si="39"/>
        <v>2641</v>
      </c>
      <c r="AB1283">
        <f t="shared" ref="AB1283:AB1321" si="40">(($R1283-$Q1283)/$Q1283)*100</f>
        <v>4.2602498045301897E-2</v>
      </c>
    </row>
    <row r="1284" spans="1:28">
      <c r="A1284" t="s">
        <v>35</v>
      </c>
      <c r="B1284" s="2">
        <v>46204</v>
      </c>
      <c r="C1284" s="2">
        <v>46174</v>
      </c>
      <c r="D1284" s="2">
        <v>46262</v>
      </c>
      <c r="E1284">
        <v>9418730</v>
      </c>
      <c r="F1284">
        <v>9470513</v>
      </c>
      <c r="G1284">
        <v>51783</v>
      </c>
      <c r="H1284">
        <v>96.37</v>
      </c>
      <c r="I1284">
        <v>59841</v>
      </c>
      <c r="J1284" t="s">
        <v>51</v>
      </c>
      <c r="K1284">
        <v>55716</v>
      </c>
      <c r="L1284">
        <v>59841</v>
      </c>
      <c r="M1284">
        <v>3625894</v>
      </c>
      <c r="N1284">
        <v>3637211</v>
      </c>
      <c r="O1284">
        <v>0</v>
      </c>
      <c r="P1284">
        <v>0</v>
      </c>
      <c r="Q1284">
        <v>394020</v>
      </c>
      <c r="R1284">
        <v>393086</v>
      </c>
      <c r="S1284">
        <v>1795583</v>
      </c>
      <c r="T1284">
        <v>1800820</v>
      </c>
      <c r="U1284">
        <v>0</v>
      </c>
      <c r="V1284">
        <v>0</v>
      </c>
      <c r="W1284">
        <v>0</v>
      </c>
      <c r="X1284">
        <v>0</v>
      </c>
      <c r="Y1284">
        <v>3603233</v>
      </c>
      <c r="Z1284">
        <v>3639396</v>
      </c>
      <c r="AA1284">
        <f t="shared" ref="AA1284:AA1321" si="41">$R1284-$Q1284</f>
        <v>-934</v>
      </c>
      <c r="AB1284">
        <f t="shared" si="40"/>
        <v>-0.23704380488300086</v>
      </c>
    </row>
    <row r="1285" spans="1:28">
      <c r="A1285" t="s">
        <v>36</v>
      </c>
      <c r="B1285" s="2">
        <v>46204</v>
      </c>
      <c r="C1285" s="2">
        <v>46174</v>
      </c>
      <c r="D1285" s="2">
        <v>46262</v>
      </c>
      <c r="E1285">
        <v>14009232</v>
      </c>
      <c r="F1285">
        <v>14267444</v>
      </c>
      <c r="G1285">
        <v>258212</v>
      </c>
      <c r="H1285">
        <v>78.739999999999995</v>
      </c>
      <c r="I1285">
        <v>94339</v>
      </c>
      <c r="J1285" t="s">
        <v>51</v>
      </c>
      <c r="K1285">
        <v>88616</v>
      </c>
      <c r="L1285">
        <v>94339</v>
      </c>
      <c r="M1285">
        <v>7021123</v>
      </c>
      <c r="N1285">
        <v>7070320</v>
      </c>
      <c r="O1285">
        <v>0</v>
      </c>
      <c r="P1285">
        <v>0</v>
      </c>
      <c r="Q1285">
        <v>281761</v>
      </c>
      <c r="R1285">
        <v>270058</v>
      </c>
      <c r="S1285">
        <v>857909</v>
      </c>
      <c r="T1285">
        <v>863662</v>
      </c>
      <c r="U1285">
        <v>0</v>
      </c>
      <c r="V1285">
        <v>0</v>
      </c>
      <c r="W1285">
        <v>0</v>
      </c>
      <c r="X1285">
        <v>0</v>
      </c>
      <c r="Y1285">
        <v>5848439</v>
      </c>
      <c r="Z1285">
        <v>6063404</v>
      </c>
      <c r="AA1285">
        <f t="shared" si="41"/>
        <v>-11703</v>
      </c>
      <c r="AB1285">
        <f t="shared" si="40"/>
        <v>-4.1535201819982177</v>
      </c>
    </row>
    <row r="1286" spans="1:28">
      <c r="A1286" t="s">
        <v>37</v>
      </c>
      <c r="B1286" s="2">
        <v>46204</v>
      </c>
      <c r="C1286" s="2">
        <v>46174</v>
      </c>
      <c r="D1286" s="2">
        <v>46262</v>
      </c>
      <c r="E1286">
        <v>83849494</v>
      </c>
      <c r="F1286">
        <v>84372300</v>
      </c>
      <c r="G1286">
        <v>522806</v>
      </c>
      <c r="H1286">
        <v>67.75</v>
      </c>
      <c r="I1286">
        <v>643775</v>
      </c>
      <c r="J1286" t="s">
        <v>51</v>
      </c>
      <c r="K1286">
        <v>600570</v>
      </c>
      <c r="L1286">
        <v>643775</v>
      </c>
      <c r="M1286">
        <v>44658497</v>
      </c>
      <c r="N1286">
        <v>45088864</v>
      </c>
      <c r="O1286">
        <v>53</v>
      </c>
      <c r="P1286">
        <v>4</v>
      </c>
      <c r="Q1286">
        <v>7683472</v>
      </c>
      <c r="R1286">
        <v>7751977</v>
      </c>
      <c r="S1286">
        <v>4746383</v>
      </c>
      <c r="T1286">
        <v>4750730</v>
      </c>
      <c r="U1286">
        <v>0</v>
      </c>
      <c r="V1286">
        <v>0</v>
      </c>
      <c r="W1286">
        <v>0</v>
      </c>
      <c r="X1286">
        <v>0</v>
      </c>
      <c r="Y1286">
        <v>26761089</v>
      </c>
      <c r="Z1286">
        <v>26780725</v>
      </c>
      <c r="AA1286">
        <f t="shared" si="41"/>
        <v>68505</v>
      </c>
      <c r="AB1286">
        <f t="shared" si="40"/>
        <v>0.89158911492096282</v>
      </c>
    </row>
    <row r="1287" spans="1:28">
      <c r="A1287" t="s">
        <v>38</v>
      </c>
      <c r="B1287" s="2">
        <v>46204</v>
      </c>
      <c r="C1287" s="2">
        <v>46174</v>
      </c>
      <c r="D1287" s="2">
        <v>46262</v>
      </c>
      <c r="E1287">
        <v>42753302</v>
      </c>
      <c r="F1287">
        <v>42920848</v>
      </c>
      <c r="G1287">
        <v>167546</v>
      </c>
      <c r="H1287">
        <v>94.35</v>
      </c>
      <c r="I1287">
        <v>269056</v>
      </c>
      <c r="J1287" t="s">
        <v>51</v>
      </c>
      <c r="K1287">
        <v>261071</v>
      </c>
      <c r="L1287">
        <v>269056</v>
      </c>
      <c r="M1287">
        <v>9785939</v>
      </c>
      <c r="N1287">
        <v>9841122</v>
      </c>
      <c r="O1287">
        <v>3</v>
      </c>
      <c r="P1287">
        <v>3</v>
      </c>
      <c r="Q1287">
        <v>12792244</v>
      </c>
      <c r="R1287">
        <v>12807413</v>
      </c>
      <c r="S1287">
        <v>8981297</v>
      </c>
      <c r="T1287">
        <v>9025390</v>
      </c>
      <c r="U1287">
        <v>0</v>
      </c>
      <c r="V1287">
        <v>0</v>
      </c>
      <c r="W1287">
        <v>0</v>
      </c>
      <c r="X1287">
        <v>0</v>
      </c>
      <c r="Y1287">
        <v>11193819</v>
      </c>
      <c r="Z1287">
        <v>11246920</v>
      </c>
      <c r="AA1287">
        <f t="shared" si="41"/>
        <v>15169</v>
      </c>
      <c r="AB1287">
        <f t="shared" si="40"/>
        <v>0.1185796643653764</v>
      </c>
    </row>
    <row r="1288" spans="1:28">
      <c r="A1288" t="s">
        <v>39</v>
      </c>
      <c r="B1288" s="2">
        <v>46204</v>
      </c>
      <c r="C1288" s="2">
        <v>46174</v>
      </c>
      <c r="D1288" s="2">
        <v>46262</v>
      </c>
      <c r="E1288">
        <v>23097599</v>
      </c>
      <c r="F1288">
        <v>23080492</v>
      </c>
      <c r="G1288">
        <v>-17107</v>
      </c>
      <c r="H1288">
        <v>85.54</v>
      </c>
      <c r="I1288">
        <v>196463</v>
      </c>
      <c r="J1288" t="s">
        <v>51</v>
      </c>
      <c r="K1288">
        <v>182736</v>
      </c>
      <c r="L1288">
        <v>196463</v>
      </c>
      <c r="M1288">
        <v>6044270</v>
      </c>
      <c r="N1288">
        <v>6062654</v>
      </c>
      <c r="O1288">
        <v>0</v>
      </c>
      <c r="P1288">
        <v>0</v>
      </c>
      <c r="Q1288">
        <v>4533842</v>
      </c>
      <c r="R1288">
        <v>4508421</v>
      </c>
      <c r="S1288">
        <v>1421235</v>
      </c>
      <c r="T1288">
        <v>1420158</v>
      </c>
      <c r="U1288">
        <v>0</v>
      </c>
      <c r="V1288">
        <v>0</v>
      </c>
      <c r="W1288">
        <v>0</v>
      </c>
      <c r="X1288">
        <v>0</v>
      </c>
      <c r="Y1288">
        <v>11098252</v>
      </c>
      <c r="Z1288">
        <v>11089259</v>
      </c>
      <c r="AA1288">
        <f t="shared" si="41"/>
        <v>-25421</v>
      </c>
      <c r="AB1288">
        <f t="shared" si="40"/>
        <v>-0.56069443972683652</v>
      </c>
    </row>
    <row r="1289" spans="1:28">
      <c r="A1289" t="s">
        <v>40</v>
      </c>
      <c r="B1289" s="2">
        <v>46204</v>
      </c>
      <c r="C1289" s="2">
        <v>46174</v>
      </c>
      <c r="D1289" s="2">
        <v>46262</v>
      </c>
      <c r="E1289">
        <v>86710560</v>
      </c>
      <c r="F1289">
        <v>87087184</v>
      </c>
      <c r="G1289">
        <v>376624</v>
      </c>
      <c r="H1289">
        <v>86.88</v>
      </c>
      <c r="I1289">
        <v>1524933</v>
      </c>
      <c r="J1289" t="s">
        <v>51</v>
      </c>
      <c r="K1289">
        <v>1402729</v>
      </c>
      <c r="L1289">
        <v>1524933</v>
      </c>
      <c r="M1289">
        <v>18612142</v>
      </c>
      <c r="N1289">
        <v>18696294</v>
      </c>
      <c r="O1289">
        <v>0</v>
      </c>
      <c r="P1289">
        <v>0</v>
      </c>
      <c r="Q1289">
        <v>12401509</v>
      </c>
      <c r="R1289">
        <v>12391285</v>
      </c>
      <c r="S1289">
        <v>5128546</v>
      </c>
      <c r="T1289">
        <v>5127474</v>
      </c>
      <c r="U1289">
        <v>0</v>
      </c>
      <c r="V1289">
        <v>0</v>
      </c>
      <c r="W1289">
        <v>0</v>
      </c>
      <c r="X1289">
        <v>0</v>
      </c>
      <c r="Y1289">
        <v>50568363</v>
      </c>
      <c r="Z1289">
        <v>50872131</v>
      </c>
      <c r="AA1289">
        <f t="shared" si="41"/>
        <v>-10224</v>
      </c>
      <c r="AB1289">
        <f t="shared" si="40"/>
        <v>-8.2441580294785086E-2</v>
      </c>
    </row>
    <row r="1290" spans="1:28">
      <c r="A1290" t="s">
        <v>41</v>
      </c>
      <c r="B1290" s="2">
        <v>46204</v>
      </c>
      <c r="C1290" s="2">
        <v>46174</v>
      </c>
      <c r="D1290" s="2">
        <v>46262</v>
      </c>
      <c r="E1290">
        <v>104152211</v>
      </c>
      <c r="F1290">
        <v>104539142</v>
      </c>
      <c r="G1290">
        <v>386931</v>
      </c>
      <c r="H1290">
        <v>92.22</v>
      </c>
      <c r="I1290">
        <v>1085090</v>
      </c>
      <c r="J1290" t="s">
        <v>51</v>
      </c>
      <c r="K1290">
        <v>958819</v>
      </c>
      <c r="L1290">
        <v>1085090</v>
      </c>
      <c r="M1290">
        <v>33739307</v>
      </c>
      <c r="N1290">
        <v>34081957</v>
      </c>
      <c r="O1290">
        <v>0</v>
      </c>
      <c r="P1290">
        <v>0</v>
      </c>
      <c r="Q1290">
        <v>20640388</v>
      </c>
      <c r="R1290">
        <v>20696362</v>
      </c>
      <c r="S1290">
        <v>5288701</v>
      </c>
      <c r="T1290">
        <v>5293675</v>
      </c>
      <c r="U1290">
        <v>0</v>
      </c>
      <c r="V1290">
        <v>0</v>
      </c>
      <c r="W1290">
        <v>0</v>
      </c>
      <c r="X1290">
        <v>0</v>
      </c>
      <c r="Y1290">
        <v>44483815</v>
      </c>
      <c r="Z1290">
        <v>44467148</v>
      </c>
      <c r="AA1290">
        <f t="shared" si="41"/>
        <v>55974</v>
      </c>
      <c r="AB1290">
        <f t="shared" si="40"/>
        <v>0.27118676257442448</v>
      </c>
    </row>
    <row r="1291" spans="1:28">
      <c r="A1291" t="s">
        <v>42</v>
      </c>
      <c r="B1291" s="2">
        <v>46204</v>
      </c>
      <c r="C1291" s="2">
        <v>46174</v>
      </c>
      <c r="D1291" s="2">
        <v>46262</v>
      </c>
      <c r="E1291">
        <v>40524583</v>
      </c>
      <c r="F1291">
        <v>40652172</v>
      </c>
      <c r="G1291">
        <v>127589</v>
      </c>
      <c r="H1291">
        <v>70.760000000000005</v>
      </c>
      <c r="I1291">
        <v>282132</v>
      </c>
      <c r="J1291" t="s">
        <v>51</v>
      </c>
      <c r="K1291">
        <v>239911</v>
      </c>
      <c r="L1291">
        <v>282132</v>
      </c>
      <c r="M1291">
        <v>16336019</v>
      </c>
      <c r="N1291">
        <v>16447086</v>
      </c>
      <c r="O1291">
        <v>43</v>
      </c>
      <c r="P1291">
        <v>62</v>
      </c>
      <c r="Q1291">
        <v>10700639</v>
      </c>
      <c r="R1291">
        <v>10725580</v>
      </c>
      <c r="S1291">
        <v>0</v>
      </c>
      <c r="T1291">
        <v>0</v>
      </c>
      <c r="U1291">
        <v>0</v>
      </c>
      <c r="V1291">
        <v>0</v>
      </c>
      <c r="W1291">
        <v>41750</v>
      </c>
      <c r="X1291">
        <v>37977</v>
      </c>
      <c r="Y1291">
        <v>13446132</v>
      </c>
      <c r="Z1291">
        <v>13441467</v>
      </c>
      <c r="AA1291">
        <f t="shared" si="41"/>
        <v>24941</v>
      </c>
      <c r="AB1291">
        <f t="shared" si="40"/>
        <v>0.23307953852101729</v>
      </c>
    </row>
    <row r="1292" spans="1:28">
      <c r="A1292" t="s">
        <v>43</v>
      </c>
      <c r="B1292" s="2">
        <v>46204</v>
      </c>
      <c r="C1292" s="2">
        <v>46174</v>
      </c>
      <c r="D1292" s="2">
        <v>46262</v>
      </c>
      <c r="E1292">
        <v>13399407</v>
      </c>
      <c r="F1292">
        <v>13436548</v>
      </c>
      <c r="G1292">
        <v>37141</v>
      </c>
      <c r="H1292">
        <v>96.46</v>
      </c>
      <c r="I1292">
        <v>47939</v>
      </c>
      <c r="J1292" t="s">
        <v>51</v>
      </c>
      <c r="K1292">
        <v>46327</v>
      </c>
      <c r="L1292">
        <v>47939</v>
      </c>
      <c r="M1292">
        <v>6809337</v>
      </c>
      <c r="N1292">
        <v>6839355</v>
      </c>
      <c r="O1292">
        <v>0</v>
      </c>
      <c r="P1292">
        <v>0</v>
      </c>
      <c r="Q1292">
        <v>596025</v>
      </c>
      <c r="R1292">
        <v>591840</v>
      </c>
      <c r="S1292">
        <v>1291691</v>
      </c>
      <c r="T1292">
        <v>1293699</v>
      </c>
      <c r="U1292">
        <v>0</v>
      </c>
      <c r="V1292">
        <v>0</v>
      </c>
      <c r="W1292">
        <v>0</v>
      </c>
      <c r="X1292">
        <v>0</v>
      </c>
      <c r="Y1292">
        <v>4702354</v>
      </c>
      <c r="Z1292">
        <v>4711654</v>
      </c>
      <c r="AA1292">
        <f t="shared" si="41"/>
        <v>-4185</v>
      </c>
      <c r="AB1292">
        <f t="shared" si="40"/>
        <v>-0.70215175537938845</v>
      </c>
    </row>
    <row r="1293" spans="1:28">
      <c r="A1293" t="s">
        <v>44</v>
      </c>
      <c r="B1293" s="2">
        <v>46204</v>
      </c>
      <c r="C1293" s="2">
        <v>46174</v>
      </c>
      <c r="D1293" s="2">
        <v>46262</v>
      </c>
      <c r="E1293">
        <v>38601888</v>
      </c>
      <c r="F1293">
        <v>39014287</v>
      </c>
      <c r="G1293">
        <v>412399</v>
      </c>
      <c r="H1293">
        <v>84.34</v>
      </c>
      <c r="I1293">
        <v>252883</v>
      </c>
      <c r="J1293" t="s">
        <v>51</v>
      </c>
      <c r="K1293">
        <v>246106</v>
      </c>
      <c r="L1293">
        <v>252883</v>
      </c>
      <c r="M1293">
        <v>13384173</v>
      </c>
      <c r="N1293">
        <v>13464578</v>
      </c>
      <c r="O1293">
        <v>0</v>
      </c>
      <c r="P1293">
        <v>0</v>
      </c>
      <c r="Q1293">
        <v>1544134</v>
      </c>
      <c r="R1293">
        <v>1553801</v>
      </c>
      <c r="S1293">
        <v>5496126</v>
      </c>
      <c r="T1293">
        <v>5491419</v>
      </c>
      <c r="U1293">
        <v>0</v>
      </c>
      <c r="V1293">
        <v>0</v>
      </c>
      <c r="W1293">
        <v>0</v>
      </c>
      <c r="X1293">
        <v>0</v>
      </c>
      <c r="Y1293">
        <v>18177455</v>
      </c>
      <c r="Z1293">
        <v>18504489</v>
      </c>
      <c r="AA1293">
        <f t="shared" si="41"/>
        <v>9667</v>
      </c>
      <c r="AB1293">
        <f t="shared" si="40"/>
        <v>0.62604670320062894</v>
      </c>
    </row>
    <row r="1294" spans="1:28">
      <c r="A1294" t="s">
        <v>45</v>
      </c>
      <c r="B1294" s="2">
        <v>46204</v>
      </c>
      <c r="C1294" s="2">
        <v>46174</v>
      </c>
      <c r="D1294" s="2">
        <v>46262</v>
      </c>
      <c r="E1294">
        <v>35612786</v>
      </c>
      <c r="F1294">
        <v>35701680</v>
      </c>
      <c r="G1294">
        <v>88894</v>
      </c>
      <c r="H1294">
        <v>90.96</v>
      </c>
      <c r="I1294">
        <v>401022</v>
      </c>
      <c r="J1294" t="s">
        <v>51</v>
      </c>
      <c r="K1294">
        <v>356345</v>
      </c>
      <c r="L1294">
        <v>401022</v>
      </c>
      <c r="M1294">
        <v>14146751</v>
      </c>
      <c r="N1294">
        <v>14198899</v>
      </c>
      <c r="O1294">
        <v>5</v>
      </c>
      <c r="P1294">
        <v>6</v>
      </c>
      <c r="Q1294">
        <v>5591155</v>
      </c>
      <c r="R1294">
        <v>5572993</v>
      </c>
      <c r="S1294">
        <v>4105142</v>
      </c>
      <c r="T1294">
        <v>4104294</v>
      </c>
      <c r="U1294">
        <v>0</v>
      </c>
      <c r="V1294">
        <v>0</v>
      </c>
      <c r="W1294">
        <v>0</v>
      </c>
      <c r="X1294">
        <v>0</v>
      </c>
      <c r="Y1294">
        <v>11769733</v>
      </c>
      <c r="Z1294">
        <v>11825488</v>
      </c>
      <c r="AA1294">
        <f t="shared" si="41"/>
        <v>-18162</v>
      </c>
      <c r="AB1294">
        <f t="shared" si="40"/>
        <v>-0.32483449305197226</v>
      </c>
    </row>
    <row r="1295" spans="1:28">
      <c r="A1295" t="s">
        <v>46</v>
      </c>
      <c r="B1295" s="2">
        <v>46204</v>
      </c>
      <c r="C1295" s="2">
        <v>46174</v>
      </c>
      <c r="D1295" s="2">
        <v>46262</v>
      </c>
      <c r="E1295">
        <v>68538496</v>
      </c>
      <c r="F1295">
        <v>68979937</v>
      </c>
      <c r="G1295">
        <v>441441</v>
      </c>
      <c r="H1295">
        <v>89.88</v>
      </c>
      <c r="I1295">
        <v>885751</v>
      </c>
      <c r="J1295" t="s">
        <v>51</v>
      </c>
      <c r="K1295">
        <v>802885</v>
      </c>
      <c r="L1295">
        <v>885751</v>
      </c>
      <c r="M1295">
        <v>26324143</v>
      </c>
      <c r="N1295">
        <v>26440461</v>
      </c>
      <c r="O1295">
        <v>34</v>
      </c>
      <c r="P1295">
        <v>34</v>
      </c>
      <c r="Q1295">
        <v>8167562</v>
      </c>
      <c r="R1295">
        <v>8172241</v>
      </c>
      <c r="S1295">
        <v>5789648</v>
      </c>
      <c r="T1295">
        <v>5847630</v>
      </c>
      <c r="U1295">
        <v>0</v>
      </c>
      <c r="V1295">
        <v>0</v>
      </c>
      <c r="W1295">
        <v>0</v>
      </c>
      <c r="X1295">
        <v>0</v>
      </c>
      <c r="Y1295">
        <v>28257109</v>
      </c>
      <c r="Z1295">
        <v>28519571</v>
      </c>
      <c r="AA1295">
        <f t="shared" si="41"/>
        <v>4679</v>
      </c>
      <c r="AB1295">
        <f t="shared" si="40"/>
        <v>5.7287596959778211E-2</v>
      </c>
    </row>
    <row r="1296" spans="1:28">
      <c r="A1296" t="s">
        <v>47</v>
      </c>
      <c r="B1296" s="2">
        <v>46204</v>
      </c>
      <c r="C1296" s="2">
        <v>46174</v>
      </c>
      <c r="D1296" s="2">
        <v>46262</v>
      </c>
      <c r="E1296">
        <v>80953051</v>
      </c>
      <c r="F1296">
        <v>81205358</v>
      </c>
      <c r="G1296">
        <v>252307</v>
      </c>
      <c r="H1296">
        <v>79.59</v>
      </c>
      <c r="I1296">
        <v>562239</v>
      </c>
      <c r="J1296" t="s">
        <v>51</v>
      </c>
      <c r="K1296">
        <v>545050</v>
      </c>
      <c r="L1296">
        <v>562239</v>
      </c>
      <c r="M1296">
        <v>33648424</v>
      </c>
      <c r="N1296">
        <v>33848814</v>
      </c>
      <c r="O1296">
        <v>0</v>
      </c>
      <c r="P1296">
        <v>2</v>
      </c>
      <c r="Q1296">
        <v>14165098</v>
      </c>
      <c r="R1296">
        <v>14196843</v>
      </c>
      <c r="S1296">
        <v>7875683</v>
      </c>
      <c r="T1296">
        <v>7850699</v>
      </c>
      <c r="U1296">
        <v>0</v>
      </c>
      <c r="V1296">
        <v>0</v>
      </c>
      <c r="W1296">
        <v>0</v>
      </c>
      <c r="X1296">
        <v>0</v>
      </c>
      <c r="Y1296">
        <v>25263846</v>
      </c>
      <c r="Z1296">
        <v>25309000</v>
      </c>
      <c r="AA1296">
        <f t="shared" si="41"/>
        <v>31745</v>
      </c>
      <c r="AB1296">
        <f t="shared" si="40"/>
        <v>0.22410716819608309</v>
      </c>
    </row>
    <row r="1297" spans="1:28">
      <c r="A1297" t="s">
        <v>48</v>
      </c>
      <c r="B1297" s="2">
        <v>46204</v>
      </c>
      <c r="C1297" s="2">
        <v>46174</v>
      </c>
      <c r="D1297" s="2">
        <v>46262</v>
      </c>
      <c r="E1297">
        <v>111566536</v>
      </c>
      <c r="F1297">
        <v>111814511</v>
      </c>
      <c r="G1297">
        <v>247975</v>
      </c>
      <c r="H1297">
        <v>84.7</v>
      </c>
      <c r="I1297">
        <v>2294656</v>
      </c>
      <c r="J1297" t="s">
        <v>51</v>
      </c>
      <c r="K1297">
        <v>2102816</v>
      </c>
      <c r="L1297">
        <v>2294656</v>
      </c>
      <c r="M1297">
        <v>41710382</v>
      </c>
      <c r="N1297">
        <v>41789816</v>
      </c>
      <c r="O1297">
        <v>0</v>
      </c>
      <c r="P1297">
        <v>0</v>
      </c>
      <c r="Q1297">
        <v>16581204</v>
      </c>
      <c r="R1297">
        <v>16599835</v>
      </c>
      <c r="S1297">
        <v>8452682</v>
      </c>
      <c r="T1297">
        <v>8451922</v>
      </c>
      <c r="U1297">
        <v>0</v>
      </c>
      <c r="V1297">
        <v>0</v>
      </c>
      <c r="W1297">
        <v>0</v>
      </c>
      <c r="X1297">
        <v>0</v>
      </c>
      <c r="Y1297">
        <v>44822268</v>
      </c>
      <c r="Z1297">
        <v>44972938</v>
      </c>
      <c r="AA1297">
        <f t="shared" si="41"/>
        <v>18631</v>
      </c>
      <c r="AB1297">
        <f t="shared" si="40"/>
        <v>0.11236216622146378</v>
      </c>
    </row>
    <row r="1298" spans="1:28">
      <c r="A1298" t="s">
        <v>49</v>
      </c>
      <c r="B1298" s="2">
        <v>46204</v>
      </c>
      <c r="C1298" s="2">
        <v>46174</v>
      </c>
      <c r="D1298" s="2">
        <v>46262</v>
      </c>
      <c r="E1298">
        <v>66935677</v>
      </c>
      <c r="F1298">
        <v>67194556</v>
      </c>
      <c r="G1298">
        <v>258879</v>
      </c>
      <c r="H1298">
        <v>92.26</v>
      </c>
      <c r="I1298">
        <v>1547662</v>
      </c>
      <c r="J1298" t="s">
        <v>51</v>
      </c>
      <c r="K1298">
        <v>1460910</v>
      </c>
      <c r="L1298">
        <v>1547662</v>
      </c>
      <c r="M1298">
        <v>23343743</v>
      </c>
      <c r="N1298">
        <v>23498533</v>
      </c>
      <c r="O1298">
        <v>0</v>
      </c>
      <c r="P1298">
        <v>0</v>
      </c>
      <c r="Q1298">
        <v>12230557</v>
      </c>
      <c r="R1298">
        <v>12156122</v>
      </c>
      <c r="S1298">
        <v>5177442</v>
      </c>
      <c r="T1298">
        <v>5179350</v>
      </c>
      <c r="U1298">
        <v>0</v>
      </c>
      <c r="V1298">
        <v>0</v>
      </c>
      <c r="W1298">
        <v>0</v>
      </c>
      <c r="X1298">
        <v>0</v>
      </c>
      <c r="Y1298">
        <v>26183935</v>
      </c>
      <c r="Z1298">
        <v>26360551</v>
      </c>
      <c r="AA1298">
        <f t="shared" si="41"/>
        <v>-74435</v>
      </c>
      <c r="AB1298">
        <f t="shared" si="40"/>
        <v>-0.60859861084004596</v>
      </c>
    </row>
    <row r="1299" spans="1:28">
      <c r="A1299" t="s">
        <v>50</v>
      </c>
      <c r="B1299" s="2">
        <v>46204</v>
      </c>
      <c r="C1299" s="2">
        <v>46174</v>
      </c>
      <c r="D1299" s="2">
        <v>46262</v>
      </c>
      <c r="E1299">
        <v>58659217</v>
      </c>
      <c r="F1299">
        <v>58754749</v>
      </c>
      <c r="G1299">
        <v>95532</v>
      </c>
      <c r="H1299">
        <v>91.74</v>
      </c>
      <c r="I1299">
        <v>1315864</v>
      </c>
      <c r="J1299" t="s">
        <v>51</v>
      </c>
      <c r="K1299">
        <v>1305288</v>
      </c>
      <c r="L1299">
        <v>1315864</v>
      </c>
      <c r="M1299">
        <v>19376456</v>
      </c>
      <c r="N1299">
        <v>19426718</v>
      </c>
      <c r="O1299">
        <v>1</v>
      </c>
      <c r="P1299">
        <v>3</v>
      </c>
      <c r="Q1299">
        <v>10163648</v>
      </c>
      <c r="R1299">
        <v>10096942</v>
      </c>
      <c r="S1299">
        <v>2632670</v>
      </c>
      <c r="T1299">
        <v>2619442</v>
      </c>
      <c r="U1299">
        <v>0</v>
      </c>
      <c r="V1299">
        <v>0</v>
      </c>
      <c r="W1299">
        <v>0</v>
      </c>
      <c r="X1299">
        <v>0</v>
      </c>
      <c r="Y1299">
        <v>26486442</v>
      </c>
      <c r="Z1299">
        <v>26611644</v>
      </c>
      <c r="AA1299">
        <f t="shared" si="41"/>
        <v>-66706</v>
      </c>
      <c r="AB1299">
        <f t="shared" si="40"/>
        <v>-0.65631946324784174</v>
      </c>
    </row>
    <row r="1300" spans="1:28">
      <c r="A1300" t="s">
        <v>28</v>
      </c>
      <c r="B1300" s="2">
        <v>46235</v>
      </c>
      <c r="C1300" s="2">
        <v>46204</v>
      </c>
      <c r="D1300" s="2">
        <v>46293</v>
      </c>
      <c r="E1300">
        <v>88715317</v>
      </c>
      <c r="F1300">
        <v>89234816</v>
      </c>
      <c r="G1300">
        <v>519499</v>
      </c>
      <c r="H1300">
        <v>95.87</v>
      </c>
      <c r="I1300">
        <v>662357</v>
      </c>
      <c r="J1300" t="s">
        <v>51</v>
      </c>
      <c r="K1300">
        <v>661963</v>
      </c>
      <c r="L1300">
        <v>662357</v>
      </c>
      <c r="M1300">
        <v>39732416</v>
      </c>
      <c r="N1300">
        <v>39937042</v>
      </c>
      <c r="O1300">
        <v>0</v>
      </c>
      <c r="P1300">
        <v>0</v>
      </c>
      <c r="Q1300">
        <v>8715411</v>
      </c>
      <c r="R1300">
        <v>8753514</v>
      </c>
      <c r="S1300">
        <v>7614955</v>
      </c>
      <c r="T1300">
        <v>7679474</v>
      </c>
      <c r="U1300">
        <v>0</v>
      </c>
      <c r="V1300">
        <v>0</v>
      </c>
      <c r="W1300">
        <v>0</v>
      </c>
      <c r="X1300">
        <v>0</v>
      </c>
      <c r="Y1300">
        <v>32652535</v>
      </c>
      <c r="Z1300">
        <v>32864786</v>
      </c>
      <c r="AA1300">
        <f t="shared" si="41"/>
        <v>38103</v>
      </c>
      <c r="AB1300">
        <f t="shared" si="40"/>
        <v>0.43719108599697704</v>
      </c>
    </row>
    <row r="1301" spans="1:28">
      <c r="A1301" t="s">
        <v>30</v>
      </c>
      <c r="B1301" s="2">
        <v>46235</v>
      </c>
      <c r="C1301" s="2">
        <v>46204</v>
      </c>
      <c r="D1301" s="2">
        <v>46293</v>
      </c>
      <c r="E1301">
        <v>29781231</v>
      </c>
      <c r="F1301">
        <v>29976230</v>
      </c>
      <c r="G1301">
        <v>194999</v>
      </c>
      <c r="H1301">
        <v>85.87</v>
      </c>
      <c r="I1301">
        <v>160184</v>
      </c>
      <c r="J1301" t="s">
        <v>51</v>
      </c>
      <c r="K1301">
        <v>149874</v>
      </c>
      <c r="L1301">
        <v>160184</v>
      </c>
      <c r="M1301">
        <v>15143012</v>
      </c>
      <c r="N1301">
        <v>15270657</v>
      </c>
      <c r="O1301">
        <v>0</v>
      </c>
      <c r="P1301">
        <v>0</v>
      </c>
      <c r="Q1301">
        <v>1519974</v>
      </c>
      <c r="R1301">
        <v>1514641</v>
      </c>
      <c r="S1301">
        <v>2901384</v>
      </c>
      <c r="T1301">
        <v>2899920</v>
      </c>
      <c r="U1301">
        <v>0</v>
      </c>
      <c r="V1301">
        <v>0</v>
      </c>
      <c r="W1301">
        <v>0</v>
      </c>
      <c r="X1301">
        <v>0</v>
      </c>
      <c r="Y1301">
        <v>10216861</v>
      </c>
      <c r="Z1301">
        <v>10291012</v>
      </c>
      <c r="AA1301">
        <f t="shared" si="41"/>
        <v>-5333</v>
      </c>
      <c r="AB1301">
        <f t="shared" si="40"/>
        <v>-0.35086126473215989</v>
      </c>
    </row>
    <row r="1302" spans="1:28">
      <c r="A1302" t="s">
        <v>31</v>
      </c>
      <c r="B1302" s="2">
        <v>46235</v>
      </c>
      <c r="C1302" s="2">
        <v>46204</v>
      </c>
      <c r="D1302" s="2">
        <v>46293</v>
      </c>
      <c r="E1302">
        <v>108923735</v>
      </c>
      <c r="F1302">
        <v>109274677</v>
      </c>
      <c r="G1302">
        <v>350942</v>
      </c>
      <c r="H1302">
        <v>84.08</v>
      </c>
      <c r="I1302">
        <v>1469902</v>
      </c>
      <c r="J1302" t="s">
        <v>51</v>
      </c>
      <c r="K1302">
        <v>1466991</v>
      </c>
      <c r="L1302">
        <v>1469902</v>
      </c>
      <c r="M1302">
        <v>50040817</v>
      </c>
      <c r="N1302">
        <v>50105575</v>
      </c>
      <c r="O1302">
        <v>0</v>
      </c>
      <c r="P1302">
        <v>0</v>
      </c>
      <c r="Q1302">
        <v>7480977</v>
      </c>
      <c r="R1302">
        <v>7504851</v>
      </c>
      <c r="S1302">
        <v>5518948</v>
      </c>
      <c r="T1302">
        <v>5539813</v>
      </c>
      <c r="U1302">
        <v>0</v>
      </c>
      <c r="V1302">
        <v>0</v>
      </c>
      <c r="W1302">
        <v>0</v>
      </c>
      <c r="X1302">
        <v>0</v>
      </c>
      <c r="Y1302">
        <v>45882993</v>
      </c>
      <c r="Z1302">
        <v>46124438</v>
      </c>
      <c r="AA1302">
        <f t="shared" si="41"/>
        <v>23874</v>
      </c>
      <c r="AB1302">
        <f t="shared" si="40"/>
        <v>0.31912943991139125</v>
      </c>
    </row>
    <row r="1303" spans="1:28">
      <c r="A1303" t="s">
        <v>32</v>
      </c>
      <c r="B1303" s="2">
        <v>46235</v>
      </c>
      <c r="C1303" s="2">
        <v>46204</v>
      </c>
      <c r="D1303" s="2">
        <v>46293</v>
      </c>
      <c r="E1303">
        <v>77593221</v>
      </c>
      <c r="F1303">
        <v>78365095</v>
      </c>
      <c r="G1303">
        <v>771874</v>
      </c>
      <c r="H1303">
        <v>49.97</v>
      </c>
      <c r="I1303">
        <v>700940</v>
      </c>
      <c r="J1303" t="s">
        <v>51</v>
      </c>
      <c r="K1303">
        <v>711530</v>
      </c>
      <c r="L1303">
        <v>700940</v>
      </c>
      <c r="M1303">
        <v>40228926</v>
      </c>
      <c r="N1303">
        <v>40712950</v>
      </c>
      <c r="O1303">
        <v>3</v>
      </c>
      <c r="P1303">
        <v>0</v>
      </c>
      <c r="Q1303">
        <v>16543979</v>
      </c>
      <c r="R1303">
        <v>16742242</v>
      </c>
      <c r="S1303">
        <v>0</v>
      </c>
      <c r="T1303">
        <v>0</v>
      </c>
      <c r="U1303">
        <v>0</v>
      </c>
      <c r="V1303">
        <v>0</v>
      </c>
      <c r="W1303">
        <v>122756</v>
      </c>
      <c r="X1303">
        <v>120657</v>
      </c>
      <c r="Y1303">
        <v>20697557</v>
      </c>
      <c r="Z1303">
        <v>20789246</v>
      </c>
      <c r="AA1303">
        <f t="shared" si="41"/>
        <v>198263</v>
      </c>
      <c r="AB1303">
        <f t="shared" si="40"/>
        <v>1.1983997320112654</v>
      </c>
    </row>
    <row r="1304" spans="1:28">
      <c r="A1304" t="s">
        <v>33</v>
      </c>
      <c r="B1304" s="2">
        <v>46235</v>
      </c>
      <c r="C1304" s="2">
        <v>46204</v>
      </c>
      <c r="D1304" s="2">
        <v>46293</v>
      </c>
      <c r="E1304">
        <v>73223343</v>
      </c>
      <c r="F1304">
        <v>73769655</v>
      </c>
      <c r="G1304">
        <v>546312</v>
      </c>
      <c r="H1304">
        <v>87.49</v>
      </c>
      <c r="I1304">
        <v>1033817</v>
      </c>
      <c r="J1304" t="s">
        <v>51</v>
      </c>
      <c r="K1304">
        <v>1073227</v>
      </c>
      <c r="L1304">
        <v>1033817</v>
      </c>
      <c r="M1304">
        <v>15946351</v>
      </c>
      <c r="N1304">
        <v>16059429</v>
      </c>
      <c r="O1304">
        <v>2</v>
      </c>
      <c r="P1304">
        <v>0</v>
      </c>
      <c r="Q1304">
        <v>20116264</v>
      </c>
      <c r="R1304">
        <v>20324998</v>
      </c>
      <c r="S1304">
        <v>3304433</v>
      </c>
      <c r="T1304">
        <v>3317956</v>
      </c>
      <c r="U1304">
        <v>0</v>
      </c>
      <c r="V1304">
        <v>0</v>
      </c>
      <c r="W1304">
        <v>0</v>
      </c>
      <c r="X1304">
        <v>0</v>
      </c>
      <c r="Y1304">
        <v>33856293</v>
      </c>
      <c r="Z1304">
        <v>34067272</v>
      </c>
      <c r="AA1304">
        <f t="shared" si="41"/>
        <v>208734</v>
      </c>
      <c r="AB1304">
        <f t="shared" si="40"/>
        <v>1.037638002762342</v>
      </c>
    </row>
    <row r="1305" spans="1:28">
      <c r="A1305" t="s">
        <v>34</v>
      </c>
      <c r="B1305" s="2">
        <v>46235</v>
      </c>
      <c r="C1305" s="2">
        <v>46204</v>
      </c>
      <c r="D1305" s="2">
        <v>46293</v>
      </c>
      <c r="E1305">
        <v>27192012</v>
      </c>
      <c r="F1305">
        <v>27278328</v>
      </c>
      <c r="G1305">
        <v>86316</v>
      </c>
      <c r="H1305">
        <v>91.47</v>
      </c>
      <c r="I1305">
        <v>445458</v>
      </c>
      <c r="J1305" t="s">
        <v>51</v>
      </c>
      <c r="K1305">
        <v>452025</v>
      </c>
      <c r="L1305">
        <v>445458</v>
      </c>
      <c r="M1305">
        <v>7964101</v>
      </c>
      <c r="N1305">
        <v>7982329</v>
      </c>
      <c r="O1305">
        <v>0</v>
      </c>
      <c r="P1305">
        <v>0</v>
      </c>
      <c r="Q1305">
        <v>6201808</v>
      </c>
      <c r="R1305">
        <v>6205068</v>
      </c>
      <c r="S1305">
        <v>4717784</v>
      </c>
      <c r="T1305">
        <v>4775713</v>
      </c>
      <c r="U1305">
        <v>0</v>
      </c>
      <c r="V1305">
        <v>0</v>
      </c>
      <c r="W1305">
        <v>0</v>
      </c>
      <c r="X1305">
        <v>0</v>
      </c>
      <c r="Y1305">
        <v>8308319</v>
      </c>
      <c r="Z1305">
        <v>8315218</v>
      </c>
      <c r="AA1305">
        <f t="shared" si="41"/>
        <v>3260</v>
      </c>
      <c r="AB1305">
        <f t="shared" si="40"/>
        <v>5.2565316436755216E-2</v>
      </c>
    </row>
    <row r="1306" spans="1:28">
      <c r="A1306" t="s">
        <v>35</v>
      </c>
      <c r="B1306" s="2">
        <v>46235</v>
      </c>
      <c r="C1306" s="2">
        <v>46204</v>
      </c>
      <c r="D1306" s="2">
        <v>46293</v>
      </c>
      <c r="E1306">
        <v>9470513</v>
      </c>
      <c r="F1306">
        <v>9450851</v>
      </c>
      <c r="G1306">
        <v>-19662</v>
      </c>
      <c r="H1306">
        <v>99.43</v>
      </c>
      <c r="I1306">
        <v>58959</v>
      </c>
      <c r="J1306" t="s">
        <v>51</v>
      </c>
      <c r="K1306">
        <v>59841</v>
      </c>
      <c r="L1306">
        <v>58959</v>
      </c>
      <c r="M1306">
        <v>3637211</v>
      </c>
      <c r="N1306">
        <v>3646564</v>
      </c>
      <c r="O1306">
        <v>0</v>
      </c>
      <c r="P1306">
        <v>0</v>
      </c>
      <c r="Q1306">
        <v>393086</v>
      </c>
      <c r="R1306">
        <v>395022</v>
      </c>
      <c r="S1306">
        <v>1800820</v>
      </c>
      <c r="T1306">
        <v>1817071</v>
      </c>
      <c r="U1306">
        <v>0</v>
      </c>
      <c r="V1306">
        <v>0</v>
      </c>
      <c r="W1306">
        <v>0</v>
      </c>
      <c r="X1306">
        <v>0</v>
      </c>
      <c r="Y1306">
        <v>3639396</v>
      </c>
      <c r="Z1306">
        <v>3592194</v>
      </c>
      <c r="AA1306">
        <f t="shared" si="41"/>
        <v>1936</v>
      </c>
      <c r="AB1306">
        <f t="shared" si="40"/>
        <v>0.49251308873885108</v>
      </c>
    </row>
    <row r="1307" spans="1:28">
      <c r="A1307" t="s">
        <v>36</v>
      </c>
      <c r="B1307" s="2">
        <v>46235</v>
      </c>
      <c r="C1307" s="2">
        <v>46204</v>
      </c>
      <c r="D1307" s="2">
        <v>46293</v>
      </c>
      <c r="E1307">
        <v>14267444</v>
      </c>
      <c r="F1307">
        <v>14274742</v>
      </c>
      <c r="G1307">
        <v>7298</v>
      </c>
      <c r="H1307">
        <v>78.989999999999995</v>
      </c>
      <c r="I1307">
        <v>77532</v>
      </c>
      <c r="J1307" t="s">
        <v>51</v>
      </c>
      <c r="K1307">
        <v>94339</v>
      </c>
      <c r="L1307">
        <v>77532</v>
      </c>
      <c r="M1307">
        <v>7070320</v>
      </c>
      <c r="N1307">
        <v>7069179</v>
      </c>
      <c r="O1307">
        <v>0</v>
      </c>
      <c r="P1307">
        <v>0</v>
      </c>
      <c r="Q1307">
        <v>270058</v>
      </c>
      <c r="R1307">
        <v>261962</v>
      </c>
      <c r="S1307">
        <v>863662</v>
      </c>
      <c r="T1307">
        <v>863103</v>
      </c>
      <c r="U1307">
        <v>0</v>
      </c>
      <c r="V1307">
        <v>0</v>
      </c>
      <c r="W1307">
        <v>0</v>
      </c>
      <c r="X1307">
        <v>0</v>
      </c>
      <c r="Y1307">
        <v>6063404</v>
      </c>
      <c r="Z1307">
        <v>6080498</v>
      </c>
      <c r="AA1307">
        <f t="shared" si="41"/>
        <v>-8096</v>
      </c>
      <c r="AB1307">
        <f t="shared" si="40"/>
        <v>-2.9978745306563774</v>
      </c>
    </row>
    <row r="1308" spans="1:28">
      <c r="A1308" t="s">
        <v>37</v>
      </c>
      <c r="B1308" s="2">
        <v>46235</v>
      </c>
      <c r="C1308" s="2">
        <v>46204</v>
      </c>
      <c r="D1308" s="2">
        <v>46293</v>
      </c>
      <c r="E1308">
        <v>84372300</v>
      </c>
      <c r="F1308">
        <v>84927704</v>
      </c>
      <c r="G1308">
        <v>555404</v>
      </c>
      <c r="H1308">
        <v>68.16</v>
      </c>
      <c r="I1308">
        <v>621350</v>
      </c>
      <c r="J1308" t="s">
        <v>51</v>
      </c>
      <c r="K1308">
        <v>643775</v>
      </c>
      <c r="L1308">
        <v>621350</v>
      </c>
      <c r="M1308">
        <v>45088864</v>
      </c>
      <c r="N1308">
        <v>45416167</v>
      </c>
      <c r="O1308">
        <v>4</v>
      </c>
      <c r="P1308">
        <v>0</v>
      </c>
      <c r="Q1308">
        <v>7751977</v>
      </c>
      <c r="R1308">
        <v>7753137</v>
      </c>
      <c r="S1308">
        <v>4750730</v>
      </c>
      <c r="T1308">
        <v>4787079</v>
      </c>
      <c r="U1308">
        <v>0</v>
      </c>
      <c r="V1308">
        <v>0</v>
      </c>
      <c r="W1308">
        <v>0</v>
      </c>
      <c r="X1308">
        <v>0</v>
      </c>
      <c r="Y1308">
        <v>26780725</v>
      </c>
      <c r="Z1308">
        <v>26971321</v>
      </c>
      <c r="AA1308">
        <f t="shared" si="41"/>
        <v>1160</v>
      </c>
      <c r="AB1308">
        <f t="shared" si="40"/>
        <v>1.4963924686567053E-2</v>
      </c>
    </row>
    <row r="1309" spans="1:28">
      <c r="A1309" t="s">
        <v>38</v>
      </c>
      <c r="B1309" s="2">
        <v>46235</v>
      </c>
      <c r="C1309" s="2">
        <v>46204</v>
      </c>
      <c r="D1309" s="2">
        <v>46293</v>
      </c>
      <c r="E1309">
        <v>42920848</v>
      </c>
      <c r="F1309">
        <v>43106342</v>
      </c>
      <c r="G1309">
        <v>185494</v>
      </c>
      <c r="H1309">
        <v>94.97</v>
      </c>
      <c r="I1309">
        <v>238747</v>
      </c>
      <c r="J1309" t="s">
        <v>51</v>
      </c>
      <c r="K1309">
        <v>269056</v>
      </c>
      <c r="L1309">
        <v>238747</v>
      </c>
      <c r="M1309">
        <v>9841122</v>
      </c>
      <c r="N1309">
        <v>9908479</v>
      </c>
      <c r="O1309">
        <v>3</v>
      </c>
      <c r="P1309">
        <v>1</v>
      </c>
      <c r="Q1309">
        <v>12807413</v>
      </c>
      <c r="R1309">
        <v>12853355</v>
      </c>
      <c r="S1309">
        <v>9025390</v>
      </c>
      <c r="T1309">
        <v>9056965</v>
      </c>
      <c r="U1309">
        <v>0</v>
      </c>
      <c r="V1309">
        <v>0</v>
      </c>
      <c r="W1309">
        <v>0</v>
      </c>
      <c r="X1309">
        <v>0</v>
      </c>
      <c r="Y1309">
        <v>11246920</v>
      </c>
      <c r="Z1309">
        <v>11287542</v>
      </c>
      <c r="AA1309">
        <f t="shared" si="41"/>
        <v>45942</v>
      </c>
      <c r="AB1309">
        <f t="shared" si="40"/>
        <v>0.35871412907509109</v>
      </c>
    </row>
    <row r="1310" spans="1:28">
      <c r="A1310" t="s">
        <v>39</v>
      </c>
      <c r="B1310" s="2">
        <v>46235</v>
      </c>
      <c r="C1310" s="2">
        <v>46204</v>
      </c>
      <c r="D1310" s="2">
        <v>46293</v>
      </c>
      <c r="E1310">
        <v>23080492</v>
      </c>
      <c r="F1310">
        <v>23153082</v>
      </c>
      <c r="G1310">
        <v>72590</v>
      </c>
      <c r="H1310">
        <v>85.23</v>
      </c>
      <c r="I1310">
        <v>193992</v>
      </c>
      <c r="J1310" t="s">
        <v>51</v>
      </c>
      <c r="K1310">
        <v>196463</v>
      </c>
      <c r="L1310">
        <v>193992</v>
      </c>
      <c r="M1310">
        <v>6062654</v>
      </c>
      <c r="N1310">
        <v>6074476</v>
      </c>
      <c r="O1310">
        <v>0</v>
      </c>
      <c r="P1310">
        <v>0</v>
      </c>
      <c r="Q1310">
        <v>4508421</v>
      </c>
      <c r="R1310">
        <v>4538165</v>
      </c>
      <c r="S1310">
        <v>1420158</v>
      </c>
      <c r="T1310">
        <v>1424408</v>
      </c>
      <c r="U1310">
        <v>0</v>
      </c>
      <c r="V1310">
        <v>0</v>
      </c>
      <c r="W1310">
        <v>0</v>
      </c>
      <c r="X1310">
        <v>0</v>
      </c>
      <c r="Y1310">
        <v>11089259</v>
      </c>
      <c r="Z1310">
        <v>11116033</v>
      </c>
      <c r="AA1310">
        <f t="shared" si="41"/>
        <v>29744</v>
      </c>
      <c r="AB1310">
        <f t="shared" si="40"/>
        <v>0.65974317837664231</v>
      </c>
    </row>
    <row r="1311" spans="1:28">
      <c r="A1311" t="s">
        <v>40</v>
      </c>
      <c r="B1311" s="2">
        <v>46235</v>
      </c>
      <c r="C1311" s="2">
        <v>46204</v>
      </c>
      <c r="D1311" s="2">
        <v>46293</v>
      </c>
      <c r="E1311">
        <v>87087184</v>
      </c>
      <c r="F1311">
        <v>87336000</v>
      </c>
      <c r="G1311">
        <v>248816</v>
      </c>
      <c r="H1311">
        <v>86.6</v>
      </c>
      <c r="I1311">
        <v>1529112</v>
      </c>
      <c r="J1311" t="s">
        <v>51</v>
      </c>
      <c r="K1311">
        <v>1524933</v>
      </c>
      <c r="L1311">
        <v>1529112</v>
      </c>
      <c r="M1311">
        <v>18696294</v>
      </c>
      <c r="N1311">
        <v>18711618</v>
      </c>
      <c r="O1311">
        <v>0</v>
      </c>
      <c r="P1311">
        <v>0</v>
      </c>
      <c r="Q1311">
        <v>12391285</v>
      </c>
      <c r="R1311">
        <v>12392757</v>
      </c>
      <c r="S1311">
        <v>5127474</v>
      </c>
      <c r="T1311">
        <v>5152360</v>
      </c>
      <c r="U1311">
        <v>0</v>
      </c>
      <c r="V1311">
        <v>0</v>
      </c>
      <c r="W1311">
        <v>0</v>
      </c>
      <c r="X1311">
        <v>0</v>
      </c>
      <c r="Y1311">
        <v>50872131</v>
      </c>
      <c r="Z1311">
        <v>51079265</v>
      </c>
      <c r="AA1311">
        <f t="shared" si="41"/>
        <v>1472</v>
      </c>
      <c r="AB1311">
        <f t="shared" si="40"/>
        <v>1.1879316794020959E-2</v>
      </c>
    </row>
    <row r="1312" spans="1:28">
      <c r="A1312" t="s">
        <v>41</v>
      </c>
      <c r="B1312" s="2">
        <v>46235</v>
      </c>
      <c r="C1312" s="2">
        <v>46204</v>
      </c>
      <c r="D1312" s="2">
        <v>46293</v>
      </c>
      <c r="E1312">
        <v>104539142</v>
      </c>
      <c r="F1312">
        <v>104994172</v>
      </c>
      <c r="G1312">
        <v>455030</v>
      </c>
      <c r="H1312">
        <v>92.94</v>
      </c>
      <c r="I1312">
        <v>1079115</v>
      </c>
      <c r="J1312" t="s">
        <v>51</v>
      </c>
      <c r="K1312">
        <v>1085090</v>
      </c>
      <c r="L1312">
        <v>1079115</v>
      </c>
      <c r="M1312">
        <v>34081957</v>
      </c>
      <c r="N1312">
        <v>34367416</v>
      </c>
      <c r="O1312">
        <v>0</v>
      </c>
      <c r="P1312">
        <v>0</v>
      </c>
      <c r="Q1312">
        <v>20696362</v>
      </c>
      <c r="R1312">
        <v>20691316</v>
      </c>
      <c r="S1312">
        <v>5293675</v>
      </c>
      <c r="T1312">
        <v>5327192</v>
      </c>
      <c r="U1312">
        <v>0</v>
      </c>
      <c r="V1312">
        <v>0</v>
      </c>
      <c r="W1312">
        <v>0</v>
      </c>
      <c r="X1312">
        <v>0</v>
      </c>
      <c r="Y1312">
        <v>44467148</v>
      </c>
      <c r="Z1312">
        <v>44608248</v>
      </c>
      <c r="AA1312">
        <f t="shared" si="41"/>
        <v>-5046</v>
      </c>
      <c r="AB1312">
        <f t="shared" si="40"/>
        <v>-2.438109654247447E-2</v>
      </c>
    </row>
    <row r="1313" spans="1:28">
      <c r="A1313" t="s">
        <v>42</v>
      </c>
      <c r="B1313" s="2">
        <v>46235</v>
      </c>
      <c r="C1313" s="2">
        <v>46204</v>
      </c>
      <c r="D1313" s="2">
        <v>46293</v>
      </c>
      <c r="E1313">
        <v>40652172</v>
      </c>
      <c r="F1313">
        <v>40773114</v>
      </c>
      <c r="G1313">
        <v>120942</v>
      </c>
      <c r="H1313">
        <v>71.400000000000006</v>
      </c>
      <c r="I1313">
        <v>290673</v>
      </c>
      <c r="J1313" t="s">
        <v>51</v>
      </c>
      <c r="K1313">
        <v>282132</v>
      </c>
      <c r="L1313">
        <v>290673</v>
      </c>
      <c r="M1313">
        <v>16447086</v>
      </c>
      <c r="N1313">
        <v>16461258</v>
      </c>
      <c r="O1313">
        <v>62</v>
      </c>
      <c r="P1313">
        <v>27</v>
      </c>
      <c r="Q1313">
        <v>10725580</v>
      </c>
      <c r="R1313">
        <v>10751229</v>
      </c>
      <c r="S1313">
        <v>0</v>
      </c>
      <c r="T1313">
        <v>0</v>
      </c>
      <c r="U1313">
        <v>0</v>
      </c>
      <c r="V1313">
        <v>0</v>
      </c>
      <c r="W1313">
        <v>37977</v>
      </c>
      <c r="X1313">
        <v>34197</v>
      </c>
      <c r="Y1313">
        <v>13441467</v>
      </c>
      <c r="Z1313">
        <v>13526403</v>
      </c>
      <c r="AA1313">
        <f t="shared" si="41"/>
        <v>25649</v>
      </c>
      <c r="AB1313">
        <f t="shared" si="40"/>
        <v>0.23913858271534033</v>
      </c>
    </row>
    <row r="1314" spans="1:28">
      <c r="A1314" t="s">
        <v>43</v>
      </c>
      <c r="B1314" s="2">
        <v>46235</v>
      </c>
      <c r="C1314" s="2">
        <v>46204</v>
      </c>
      <c r="D1314" s="2">
        <v>46293</v>
      </c>
      <c r="E1314">
        <v>13436548</v>
      </c>
      <c r="F1314">
        <v>13473237</v>
      </c>
      <c r="G1314">
        <v>36689</v>
      </c>
      <c r="H1314">
        <v>95.87</v>
      </c>
      <c r="I1314">
        <v>51615</v>
      </c>
      <c r="J1314" t="s">
        <v>51</v>
      </c>
      <c r="K1314">
        <v>47939</v>
      </c>
      <c r="L1314">
        <v>51615</v>
      </c>
      <c r="M1314">
        <v>6839355</v>
      </c>
      <c r="N1314">
        <v>6850897</v>
      </c>
      <c r="O1314">
        <v>0</v>
      </c>
      <c r="P1314">
        <v>0</v>
      </c>
      <c r="Q1314">
        <v>591840</v>
      </c>
      <c r="R1314">
        <v>590167</v>
      </c>
      <c r="S1314">
        <v>1293699</v>
      </c>
      <c r="T1314">
        <v>1309150</v>
      </c>
      <c r="U1314">
        <v>0</v>
      </c>
      <c r="V1314">
        <v>0</v>
      </c>
      <c r="W1314">
        <v>0</v>
      </c>
      <c r="X1314">
        <v>0</v>
      </c>
      <c r="Y1314">
        <v>4711654</v>
      </c>
      <c r="Z1314">
        <v>4723023</v>
      </c>
      <c r="AA1314">
        <f t="shared" si="41"/>
        <v>-1673</v>
      </c>
      <c r="AB1314">
        <f t="shared" si="40"/>
        <v>-0.28267775074344414</v>
      </c>
    </row>
    <row r="1315" spans="1:28">
      <c r="A1315" t="s">
        <v>44</v>
      </c>
      <c r="B1315" s="2">
        <v>46235</v>
      </c>
      <c r="C1315" s="2">
        <v>46204</v>
      </c>
      <c r="D1315" s="2">
        <v>46293</v>
      </c>
      <c r="E1315">
        <v>39014287</v>
      </c>
      <c r="F1315">
        <v>39199278</v>
      </c>
      <c r="G1315">
        <v>184991</v>
      </c>
      <c r="H1315">
        <v>84.47</v>
      </c>
      <c r="I1315">
        <v>293186</v>
      </c>
      <c r="J1315" t="s">
        <v>51</v>
      </c>
      <c r="K1315">
        <v>252883</v>
      </c>
      <c r="L1315">
        <v>293186</v>
      </c>
      <c r="M1315">
        <v>13464578</v>
      </c>
      <c r="N1315">
        <v>13477538</v>
      </c>
      <c r="O1315">
        <v>0</v>
      </c>
      <c r="P1315">
        <v>0</v>
      </c>
      <c r="Q1315">
        <v>1553801</v>
      </c>
      <c r="R1315">
        <v>1557705</v>
      </c>
      <c r="S1315">
        <v>5491419</v>
      </c>
      <c r="T1315">
        <v>5499606</v>
      </c>
      <c r="U1315">
        <v>0</v>
      </c>
      <c r="V1315">
        <v>0</v>
      </c>
      <c r="W1315">
        <v>0</v>
      </c>
      <c r="X1315">
        <v>0</v>
      </c>
      <c r="Y1315">
        <v>18504489</v>
      </c>
      <c r="Z1315">
        <v>18664429</v>
      </c>
      <c r="AA1315">
        <f t="shared" si="41"/>
        <v>3904</v>
      </c>
      <c r="AB1315">
        <f t="shared" si="40"/>
        <v>0.2512548260684605</v>
      </c>
    </row>
    <row r="1316" spans="1:28">
      <c r="A1316" t="s">
        <v>45</v>
      </c>
      <c r="B1316" s="2">
        <v>46235</v>
      </c>
      <c r="C1316" s="2">
        <v>46204</v>
      </c>
      <c r="D1316" s="2">
        <v>46293</v>
      </c>
      <c r="E1316">
        <v>35701680</v>
      </c>
      <c r="F1316">
        <v>35782888</v>
      </c>
      <c r="G1316">
        <v>81208</v>
      </c>
      <c r="H1316">
        <v>90.33</v>
      </c>
      <c r="I1316">
        <v>389766</v>
      </c>
      <c r="J1316" t="s">
        <v>51</v>
      </c>
      <c r="K1316">
        <v>401022</v>
      </c>
      <c r="L1316">
        <v>389766</v>
      </c>
      <c r="M1316">
        <v>14198899</v>
      </c>
      <c r="N1316">
        <v>14193818</v>
      </c>
      <c r="O1316">
        <v>6</v>
      </c>
      <c r="P1316">
        <v>2</v>
      </c>
      <c r="Q1316">
        <v>5572993</v>
      </c>
      <c r="R1316">
        <v>5623167</v>
      </c>
      <c r="S1316">
        <v>4104294</v>
      </c>
      <c r="T1316">
        <v>4106818</v>
      </c>
      <c r="U1316">
        <v>0</v>
      </c>
      <c r="V1316">
        <v>0</v>
      </c>
      <c r="W1316">
        <v>0</v>
      </c>
      <c r="X1316">
        <v>0</v>
      </c>
      <c r="Y1316">
        <v>11825488</v>
      </c>
      <c r="Z1316">
        <v>11859083</v>
      </c>
      <c r="AA1316">
        <f t="shared" si="41"/>
        <v>50174</v>
      </c>
      <c r="AB1316">
        <f t="shared" si="40"/>
        <v>0.90030617300255</v>
      </c>
    </row>
    <row r="1317" spans="1:28">
      <c r="A1317" t="s">
        <v>46</v>
      </c>
      <c r="B1317" s="2">
        <v>46235</v>
      </c>
      <c r="C1317" s="2">
        <v>46204</v>
      </c>
      <c r="D1317" s="2">
        <v>46293</v>
      </c>
      <c r="E1317">
        <v>68979937</v>
      </c>
      <c r="F1317">
        <v>69212183</v>
      </c>
      <c r="G1317">
        <v>232246</v>
      </c>
      <c r="H1317">
        <v>89.9</v>
      </c>
      <c r="I1317">
        <v>856195</v>
      </c>
      <c r="J1317" t="s">
        <v>51</v>
      </c>
      <c r="K1317">
        <v>885751</v>
      </c>
      <c r="L1317">
        <v>856195</v>
      </c>
      <c r="M1317">
        <v>26440461</v>
      </c>
      <c r="N1317">
        <v>26450165</v>
      </c>
      <c r="O1317">
        <v>34</v>
      </c>
      <c r="P1317">
        <v>1</v>
      </c>
      <c r="Q1317">
        <v>8172241</v>
      </c>
      <c r="R1317">
        <v>8154765</v>
      </c>
      <c r="S1317">
        <v>5847630</v>
      </c>
      <c r="T1317">
        <v>5966476</v>
      </c>
      <c r="U1317">
        <v>0</v>
      </c>
      <c r="V1317">
        <v>0</v>
      </c>
      <c r="W1317">
        <v>0</v>
      </c>
      <c r="X1317">
        <v>0</v>
      </c>
      <c r="Y1317">
        <v>28519571</v>
      </c>
      <c r="Z1317">
        <v>28640776</v>
      </c>
      <c r="AA1317">
        <f t="shared" si="41"/>
        <v>-17476</v>
      </c>
      <c r="AB1317">
        <f t="shared" si="40"/>
        <v>-0.21384587165258589</v>
      </c>
    </row>
    <row r="1318" spans="1:28">
      <c r="A1318" t="s">
        <v>47</v>
      </c>
      <c r="B1318" s="2">
        <v>46235</v>
      </c>
      <c r="C1318" s="2">
        <v>46204</v>
      </c>
      <c r="D1318" s="2">
        <v>46293</v>
      </c>
      <c r="E1318">
        <v>81205358</v>
      </c>
      <c r="F1318">
        <v>81560472</v>
      </c>
      <c r="G1318">
        <v>355114</v>
      </c>
      <c r="H1318">
        <v>79.930000000000007</v>
      </c>
      <c r="I1318">
        <v>543015</v>
      </c>
      <c r="J1318" t="s">
        <v>51</v>
      </c>
      <c r="K1318">
        <v>562239</v>
      </c>
      <c r="L1318">
        <v>543015</v>
      </c>
      <c r="M1318">
        <v>33848814</v>
      </c>
      <c r="N1318">
        <v>33980568</v>
      </c>
      <c r="O1318">
        <v>2</v>
      </c>
      <c r="P1318">
        <v>0</v>
      </c>
      <c r="Q1318">
        <v>14196843</v>
      </c>
      <c r="R1318">
        <v>14242659</v>
      </c>
      <c r="S1318">
        <v>7850699</v>
      </c>
      <c r="T1318">
        <v>7849488</v>
      </c>
      <c r="U1318">
        <v>0</v>
      </c>
      <c r="V1318">
        <v>0</v>
      </c>
      <c r="W1318">
        <v>0</v>
      </c>
      <c r="X1318">
        <v>0</v>
      </c>
      <c r="Y1318">
        <v>25309000</v>
      </c>
      <c r="Z1318">
        <v>25487757</v>
      </c>
      <c r="AA1318">
        <f t="shared" si="41"/>
        <v>45816</v>
      </c>
      <c r="AB1318">
        <f t="shared" si="40"/>
        <v>0.32271963562603317</v>
      </c>
    </row>
    <row r="1319" spans="1:28">
      <c r="A1319" t="s">
        <v>48</v>
      </c>
      <c r="B1319" s="2">
        <v>46235</v>
      </c>
      <c r="C1319" s="2">
        <v>46204</v>
      </c>
      <c r="D1319" s="2">
        <v>46293</v>
      </c>
      <c r="E1319">
        <v>111814511</v>
      </c>
      <c r="F1319">
        <v>112120701</v>
      </c>
      <c r="G1319">
        <v>306190</v>
      </c>
      <c r="H1319">
        <v>82.69</v>
      </c>
      <c r="I1319">
        <v>2227586</v>
      </c>
      <c r="J1319" t="s">
        <v>51</v>
      </c>
      <c r="K1319">
        <v>2294656</v>
      </c>
      <c r="L1319">
        <v>2227586</v>
      </c>
      <c r="M1319">
        <v>41789816</v>
      </c>
      <c r="N1319">
        <v>41796955</v>
      </c>
      <c r="O1319">
        <v>0</v>
      </c>
      <c r="P1319">
        <v>0</v>
      </c>
      <c r="Q1319">
        <v>16599835</v>
      </c>
      <c r="R1319">
        <v>16608558</v>
      </c>
      <c r="S1319">
        <v>8451922</v>
      </c>
      <c r="T1319">
        <v>8477041</v>
      </c>
      <c r="U1319">
        <v>0</v>
      </c>
      <c r="V1319">
        <v>0</v>
      </c>
      <c r="W1319">
        <v>0</v>
      </c>
      <c r="X1319">
        <v>0</v>
      </c>
      <c r="Y1319">
        <v>44972938</v>
      </c>
      <c r="Z1319">
        <v>45238147</v>
      </c>
      <c r="AA1319">
        <f t="shared" si="41"/>
        <v>8723</v>
      </c>
      <c r="AB1319">
        <f t="shared" si="40"/>
        <v>5.2548715092650015E-2</v>
      </c>
    </row>
    <row r="1320" spans="1:28">
      <c r="A1320" t="s">
        <v>49</v>
      </c>
      <c r="B1320" s="2">
        <v>46235</v>
      </c>
      <c r="C1320" s="2">
        <v>46204</v>
      </c>
      <c r="D1320" s="2">
        <v>46293</v>
      </c>
      <c r="E1320">
        <v>67194556</v>
      </c>
      <c r="F1320">
        <v>67210895</v>
      </c>
      <c r="G1320">
        <v>16339</v>
      </c>
      <c r="H1320">
        <v>93.81</v>
      </c>
      <c r="I1320">
        <v>1509533</v>
      </c>
      <c r="J1320" t="s">
        <v>51</v>
      </c>
      <c r="K1320">
        <v>1547662</v>
      </c>
      <c r="L1320">
        <v>1509533</v>
      </c>
      <c r="M1320">
        <v>23498533</v>
      </c>
      <c r="N1320">
        <v>23599795</v>
      </c>
      <c r="O1320">
        <v>0</v>
      </c>
      <c r="P1320">
        <v>0</v>
      </c>
      <c r="Q1320">
        <v>12156122</v>
      </c>
      <c r="R1320">
        <v>12062015</v>
      </c>
      <c r="S1320">
        <v>5179350</v>
      </c>
      <c r="T1320">
        <v>5195393</v>
      </c>
      <c r="U1320">
        <v>0</v>
      </c>
      <c r="V1320">
        <v>0</v>
      </c>
      <c r="W1320">
        <v>0</v>
      </c>
      <c r="X1320">
        <v>0</v>
      </c>
      <c r="Y1320">
        <v>26360551</v>
      </c>
      <c r="Z1320">
        <v>26353692</v>
      </c>
      <c r="AA1320">
        <f t="shared" si="41"/>
        <v>-94107</v>
      </c>
      <c r="AB1320">
        <f t="shared" si="40"/>
        <v>-0.77415313864076063</v>
      </c>
    </row>
    <row r="1321" spans="1:28">
      <c r="A1321" t="s">
        <v>50</v>
      </c>
      <c r="B1321" s="2">
        <v>46235</v>
      </c>
      <c r="C1321" s="2">
        <v>46204</v>
      </c>
      <c r="D1321" s="2">
        <v>46293</v>
      </c>
      <c r="E1321">
        <v>58754749</v>
      </c>
      <c r="F1321">
        <v>58951496</v>
      </c>
      <c r="G1321">
        <v>196747</v>
      </c>
      <c r="H1321">
        <v>91.29</v>
      </c>
      <c r="I1321">
        <v>1396942</v>
      </c>
      <c r="J1321" t="s">
        <v>51</v>
      </c>
      <c r="K1321">
        <v>1315864</v>
      </c>
      <c r="L1321">
        <v>1396942</v>
      </c>
      <c r="M1321">
        <v>19426718</v>
      </c>
      <c r="N1321">
        <v>19526242</v>
      </c>
      <c r="O1321">
        <v>3</v>
      </c>
      <c r="P1321">
        <v>1</v>
      </c>
      <c r="Q1321">
        <v>10096942</v>
      </c>
      <c r="R1321">
        <v>10048058</v>
      </c>
      <c r="S1321">
        <v>2619442</v>
      </c>
      <c r="T1321">
        <v>2625673</v>
      </c>
      <c r="U1321">
        <v>0</v>
      </c>
      <c r="V1321">
        <v>0</v>
      </c>
      <c r="W1321">
        <v>0</v>
      </c>
      <c r="X1321">
        <v>0</v>
      </c>
      <c r="Y1321">
        <v>26611644</v>
      </c>
      <c r="Z1321">
        <v>26751522</v>
      </c>
      <c r="AA1321">
        <f t="shared" si="41"/>
        <v>-48884</v>
      </c>
      <c r="AB1321">
        <f t="shared" si="40"/>
        <v>-0.48414658616440498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Parmar</dc:creator>
  <cp:lastModifiedBy>Yash Parmar</cp:lastModifiedBy>
  <dcterms:created xsi:type="dcterms:W3CDTF">2026-10-24T09:19:01Z</dcterms:created>
  <dcterms:modified xsi:type="dcterms:W3CDTF">2026-10-24T09:19:27Z</dcterms:modified>
</cp:coreProperties>
</file>